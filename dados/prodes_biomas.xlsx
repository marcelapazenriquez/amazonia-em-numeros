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Leia-me" sheetId="1" state="visible" r:id="rId3"/>
    <sheet name="Tabela anual" sheetId="2" state="visible" r:id="rId4"/>
    <sheet name="Base longa" sheetId="3" state="visible" r:id="rId5"/>
    <sheet name="Conferência" sheetId="4" state="visible" r:id="rId6"/>
  </sheets>
  <definedNames>
    <definedName function="false" hidden="true" localSheetId="2" name="_xlnm._FilterDatabase" vbProcedure="false">'Base longa'!$A$1:$E$171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<sst xmlns="http://schemas.openxmlformats.org/spreadsheetml/2006/main" count="408" uniqueCount="68">
  <si>
    <t xml:space="preserve">Amazônia em Números #1 — Desmatamento anual por bioma (INPE/PRODES)</t>
  </si>
  <si>
    <t xml:space="preserve">Organização: Marcela Paz da Silva Enriquez · github.com/marcelapazenriquez/amazonia-em-numeros</t>
  </si>
  <si>
    <t xml:space="preserve">O que tem nesta planilha</t>
  </si>
  <si>
    <t xml:space="preserve">1. Tabela anual — anos nas linhas, biomas nas colunas. A mais fácil de ler.</t>
  </si>
  <si>
    <t xml:space="preserve">2. Base longa — um registro por bioma e ano, com variação anual e filtros (igual ao arquivo prodes_biomas.csv).</t>
  </si>
  <si>
    <t xml:space="preserve">3. Conferência — cada número citado no post, calculado por fórmula a partir da Tabela anual. Clique nas células para ver a conta.</t>
  </si>
  <si>
    <t xml:space="preserve">Fonte</t>
  </si>
  <si>
    <t xml:space="preserve">INPE/PRODES, painel "Incrementos de desmatamento" por bioma, no TerraBrasilis.</t>
  </si>
  <si>
    <t xml:space="preserve">Link: https://terrabrasilis.dpi.inpe.br/app/dashboard/deforestation/biomes/&lt;bioma&gt;/increments  (&lt;bioma&gt; = amazon, cerrado, caatinga, mata_atlantica, pampa, pantanal)</t>
  </si>
  <si>
    <t xml:space="preserve">Passo a passo: abrir o link de cada bioma → gráfico "Incrementos de desmatamento" → menu ≡ → exportar CSV. Acesso em 16/10/2026.</t>
  </si>
  <si>
    <t xml:space="preserve">Como ler os números</t>
  </si>
  <si>
    <t xml:space="preserve">Unidade: km² de vegetação nativa suprimida por ano.</t>
  </si>
  <si>
    <t xml:space="preserve">Ano de referência: agosto do ano anterior a julho do ano indicado (ex.: 2025 = ago/2024 a jul/2025).</t>
  </si>
  <si>
    <t xml:space="preserve">Bioma Amazônia ≠ Amazônia Legal: aqui o recorte é o bioma, por isso os valores diferem da taxa mais citada na imprensa.</t>
  </si>
  <si>
    <t xml:space="preserve">Para comparar com o Cerrado, use a Amazônia total (floresta + não floresta): o PRODES Cerrado mede toda a vegetação nativa.</t>
  </si>
  <si>
    <t xml:space="preserve">Mapeamento bienal: nos primeiros anos, alguns biomas foram mapeados a cada dois anos e o INPE divide o valor igualmente entre os dois anos.</t>
  </si>
  <si>
    <t xml:space="preserve">Valores de 2026 podem ser preliminares. Células vazias = sem dado no painel do INPE.</t>
  </si>
  <si>
    <t xml:space="preserve">Ano</t>
  </si>
  <si>
    <t xml:space="preserve">Amazônia (floresta)</t>
  </si>
  <si>
    <t xml:space="preserve">Amazônia (não floresta)</t>
  </si>
  <si>
    <t xml:space="preserve">Cerrado</t>
  </si>
  <si>
    <t xml:space="preserve">Caatinga</t>
  </si>
  <si>
    <t xml:space="preserve">Mata Atlântica</t>
  </si>
  <si>
    <t xml:space="preserve">Pampa</t>
  </si>
  <si>
    <t xml:space="preserve">Pantanal</t>
  </si>
  <si>
    <t xml:space="preserve">Amazônia total (floresta + não floresta)</t>
  </si>
  <si>
    <t xml:space="preserve">Cerrado desmatou mais que a Amazônia?</t>
  </si>
  <si>
    <t xml:space="preserve">Azul = valor copiado do CSV do INPE, sem alteração. Preto = fórmula. Unidade: km². Fonte: INPE/PRODES (TerraBrasilis), acesso em 16/10/2026.</t>
  </si>
  <si>
    <t xml:space="preserve">Bioma</t>
  </si>
  <si>
    <t xml:space="preserve">Área desmatada (km²)</t>
  </si>
  <si>
    <t xml:space="preserve">Variação anual</t>
  </si>
  <si>
    <t xml:space="preserve">Mapeamento bienal</t>
  </si>
  <si>
    <t xml:space="preserve">não</t>
  </si>
  <si>
    <t xml:space="preserve">sim</t>
  </si>
  <si>
    <t xml:space="preserve">Conferência dos números do post #1</t>
  </si>
  <si>
    <t xml:space="preserve">Coluna C = calculado por fórmula a partir da aba Tabela anual. Coluna D = número citado no post. Coluna E confere se batem.</t>
  </si>
  <si>
    <t xml:space="preserve">#</t>
  </si>
  <si>
    <t xml:space="preserve">Número do post</t>
  </si>
  <si>
    <t xml:space="preserve">Calculado (fórmula)</t>
  </si>
  <si>
    <t xml:space="preserve">Citado no post</t>
  </si>
  <si>
    <t xml:space="preserve">Bate?</t>
  </si>
  <si>
    <t xml:space="preserve">Como é calculado</t>
  </si>
  <si>
    <t xml:space="preserve">1</t>
  </si>
  <si>
    <t xml:space="preserve">Anos (2008–2025) em que o Cerrado desmatou mais que a Amazônia</t>
  </si>
  <si>
    <t xml:space="preserve">Conta "Sim" na coluna J da Tabela anual</t>
  </si>
  <si>
    <t xml:space="preserve">1b</t>
  </si>
  <si>
    <t xml:space="preserve">Anos (2008–2025) em que a Amazônia desmatou mais</t>
  </si>
  <si>
    <t xml:space="preserve">Devem ser 2016 a 2022</t>
  </si>
  <si>
    <t xml:space="preserve">2a</t>
  </si>
  <si>
    <t xml:space="preserve">Amazônia (floresta) em 2022, km²</t>
  </si>
  <si>
    <t xml:space="preserve">Valor do INPE</t>
  </si>
  <si>
    <t xml:space="preserve">2b</t>
  </si>
  <si>
    <t xml:space="preserve">Amazônia (floresta) em 2026, km²</t>
  </si>
  <si>
    <t xml:space="preserve">2c</t>
  </si>
  <si>
    <t xml:space="preserve">Queda 2022 → 2026</t>
  </si>
  <si>
    <t xml:space="preserve">2026 ÷ 2022 − 1</t>
  </si>
  <si>
    <t xml:space="preserve">3a</t>
  </si>
  <si>
    <t xml:space="preserve">Desmatamento total no país em 2025, km²</t>
  </si>
  <si>
    <t xml:space="preserve">Soma dos 7 biomas/classes</t>
  </si>
  <si>
    <t xml:space="preserve">3b</t>
  </si>
  <si>
    <t xml:space="preserve">Participação do Cerrado em 2025</t>
  </si>
  <si>
    <t xml:space="preserve">Cerrado ÷ total</t>
  </si>
  <si>
    <t xml:space="preserve">4a</t>
  </si>
  <si>
    <t xml:space="preserve">Cerrado acumulado 2008–2025, km²</t>
  </si>
  <si>
    <t xml:space="preserve">Soma da coluna Cerrado</t>
  </si>
  <si>
    <t xml:space="preserve">4b</t>
  </si>
  <si>
    <t xml:space="preserve">Amazônia total acumulada 2008–2025, km²</t>
  </si>
  <si>
    <t xml:space="preserve">Soma da coluna Amazônia total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</si>
</sst>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0.0%;[RED]\-0.0%"/>
    <numFmt numFmtId="167" formatCode="0"/>
    <numFmt numFmtId="168" formatCode="#,##0"/>
    <numFmt numFmtId="169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1F1D"/>
      <name val="Arial"/>
      <family val="0"/>
      <charset val="1"/>
    </font>
    <font>
      <sz val="10"/>
      <color rgb="FF3A3A36"/>
      <name val="Arial"/>
      <family val="0"/>
      <charset val="1"/>
    </font>
    <font>
      <b val="true"/>
      <sz val="11"/>
      <color rgb="FF1F1F1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name val="Arial"/>
      <family val="0"/>
      <charset val="1"/>
    </font>
    <font>
      <i val="true"/>
      <sz val="9"/>
      <color rgb="FF6B6A63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1B7A4F"/>
      <name val="Arial"/>
      <family val="0"/>
      <charset val="1"/>
    </font>
    <font>
      <sz val="9"/>
      <color rgb="FF6B6A6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D2B"/>
        <bgColor rgb="FF3A3A36"/>
      </patternFill>
    </fill>
    <fill>
      <patternFill patternType="solid">
        <fgColor rgb="FFE3F4EC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8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D2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B7A4F"/>
      <rgbColor rgb="FFC0C0C0"/>
      <rgbColor rgb="FF808080"/>
      <rgbColor rgb="FF9999FF"/>
      <rgbColor rgb="FF993366"/>
      <rgbColor rgb="FFFFFFCC"/>
      <rgbColor rgb="FFE3F4EC"/>
      <rgbColor rgb="FF660066"/>
      <rgbColor rgb="FFFF8080"/>
      <rgbColor rgb="FF0066CC"/>
      <rgbColor rgb="FFD9D8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A63"/>
      <rgbColor rgb="FF969696"/>
      <rgbColor rgb="FF003366"/>
      <rgbColor rgb="FF339966"/>
      <rgbColor rgb="FF1F1F1D"/>
      <rgbColor rgb="FF1F3D2B"/>
      <rgbColor rgb="FF993300"/>
      <rgbColor rgb="FF993366"/>
      <rgbColor rgb="FF333399"/>
      <rgbColor rgb="FF3A3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8" min="2" style="0" width="14"/>
    <col collapsed="false" customWidth="true" hidden="false" outlineLevel="0" max="10" min="9" style="0" width="20"/>
  </cols>
  <sheetData>
    <row r="1" customFormat="false" ht="36" hidden="false" customHeight="true" outlineLevel="0" collapsed="false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</row>
    <row r="2" customFormat="false" ht="15" hidden="false" customHeight="false" outlineLevel="0" collapsed="false">
      <c r="A2" s="5" t="n">
        <v>2001</v>
      </c>
      <c r="B2" s="6"/>
      <c r="C2" s="7" t="n">
        <v>1551.8</v>
      </c>
      <c r="D2" s="7" t="n">
        <v>26933.02</v>
      </c>
      <c r="E2" s="7" t="n">
        <v>12186.41</v>
      </c>
      <c r="F2" s="7" t="n">
        <v>5625.91</v>
      </c>
      <c r="G2" s="7" t="n">
        <v>2866</v>
      </c>
      <c r="H2" s="7" t="n">
        <v>1000.06</v>
      </c>
      <c r="I2" s="8" t="str">
        <f aca="false">IF(AND(ISNUMBER(B2),ISNUMBER(C2)),B2+C2,"")</f>
        <v/>
      </c>
      <c r="J2" s="9" t="str">
        <f aca="false">IF(AND(A2&gt;=2008,ISNUMBER(I2),ISNUMBER(D2)),IF(D2&gt;I2,"Sim","Não"),"")</f>
        <v/>
      </c>
    </row>
    <row r="3" customFormat="false" ht="15" hidden="false" customHeight="false" outlineLevel="0" collapsed="false">
      <c r="A3" s="5" t="n">
        <v>2002</v>
      </c>
      <c r="B3" s="6"/>
      <c r="C3" s="7" t="n">
        <v>1551.8</v>
      </c>
      <c r="D3" s="7" t="n">
        <v>26933.02</v>
      </c>
      <c r="E3" s="7" t="n">
        <v>12186.41</v>
      </c>
      <c r="F3" s="7" t="n">
        <v>5625.91</v>
      </c>
      <c r="G3" s="7" t="n">
        <v>2866</v>
      </c>
      <c r="H3" s="7" t="n">
        <v>1000.06</v>
      </c>
      <c r="I3" s="8" t="str">
        <f aca="false">IF(AND(ISNUMBER(B3),ISNUMBER(C3)),B3+C3,"")</f>
        <v/>
      </c>
      <c r="J3" s="9" t="str">
        <f aca="false">IF(AND(A3&gt;=2008,ISNUMBER(I3),ISNUMBER(D3)),IF(D3&gt;I3,"Sim","Não"),"")</f>
        <v/>
      </c>
    </row>
    <row r="4" customFormat="false" ht="15" hidden="false" customHeight="false" outlineLevel="0" collapsed="false">
      <c r="A4" s="5" t="n">
        <v>2003</v>
      </c>
      <c r="B4" s="6"/>
      <c r="C4" s="7" t="n">
        <v>1380.02</v>
      </c>
      <c r="D4" s="7" t="n">
        <v>28770.33</v>
      </c>
      <c r="E4" s="7" t="n">
        <v>12186.41</v>
      </c>
      <c r="F4" s="7" t="n">
        <v>5625.91</v>
      </c>
      <c r="G4" s="7" t="n">
        <v>2866</v>
      </c>
      <c r="H4" s="7" t="n">
        <v>1000.06</v>
      </c>
      <c r="I4" s="8" t="str">
        <f aca="false">IF(AND(ISNUMBER(B4),ISNUMBER(C4)),B4+C4,"")</f>
        <v/>
      </c>
      <c r="J4" s="9" t="str">
        <f aca="false">IF(AND(A4&gt;=2008,ISNUMBER(I4),ISNUMBER(D4)),IF(D4&gt;I4,"Sim","Não"),"")</f>
        <v/>
      </c>
    </row>
    <row r="5" customFormat="false" ht="15" hidden="false" customHeight="false" outlineLevel="0" collapsed="false">
      <c r="A5" s="5" t="n">
        <v>2004</v>
      </c>
      <c r="B5" s="6"/>
      <c r="C5" s="7" t="n">
        <v>1380.02</v>
      </c>
      <c r="D5" s="7" t="n">
        <v>28770.33</v>
      </c>
      <c r="E5" s="7" t="n">
        <v>12186.41</v>
      </c>
      <c r="F5" s="7" t="n">
        <v>5625.91</v>
      </c>
      <c r="G5" s="7" t="n">
        <v>2866</v>
      </c>
      <c r="H5" s="7" t="n">
        <v>1000.06</v>
      </c>
      <c r="I5" s="8" t="str">
        <f aca="false">IF(AND(ISNUMBER(B5),ISNUMBER(C5)),B5+C5,"")</f>
        <v/>
      </c>
      <c r="J5" s="9" t="str">
        <f aca="false">IF(AND(A5&gt;=2008,ISNUMBER(I5),ISNUMBER(D5)),IF(D5&gt;I5,"Sim","Não"),"")</f>
        <v/>
      </c>
    </row>
    <row r="6" customFormat="false" ht="15" hidden="false" customHeight="false" outlineLevel="0" collapsed="false">
      <c r="A6" s="5" t="n">
        <v>2005</v>
      </c>
      <c r="B6" s="6"/>
      <c r="C6" s="7" t="n">
        <v>941.24</v>
      </c>
      <c r="D6" s="7" t="n">
        <v>16877.45</v>
      </c>
      <c r="E6" s="7" t="n">
        <v>8172.6</v>
      </c>
      <c r="F6" s="7" t="n">
        <v>6384.15</v>
      </c>
      <c r="G6" s="7" t="n">
        <v>2004.36</v>
      </c>
      <c r="H6" s="7" t="n">
        <v>845.96</v>
      </c>
      <c r="I6" s="8" t="str">
        <f aca="false">IF(AND(ISNUMBER(B6),ISNUMBER(C6)),B6+C6,"")</f>
        <v/>
      </c>
      <c r="J6" s="9" t="str">
        <f aca="false">IF(AND(A6&gt;=2008,ISNUMBER(I6),ISNUMBER(D6)),IF(D6&gt;I6,"Sim","Não"),"")</f>
        <v/>
      </c>
    </row>
    <row r="7" customFormat="false" ht="15" hidden="false" customHeight="false" outlineLevel="0" collapsed="false">
      <c r="A7" s="5" t="n">
        <v>2006</v>
      </c>
      <c r="B7" s="6"/>
      <c r="C7" s="7" t="n">
        <v>941.24</v>
      </c>
      <c r="D7" s="7" t="n">
        <v>16877.45</v>
      </c>
      <c r="E7" s="7" t="n">
        <v>8172.6</v>
      </c>
      <c r="F7" s="7" t="n">
        <v>6384.15</v>
      </c>
      <c r="G7" s="7" t="n">
        <v>2004.36</v>
      </c>
      <c r="H7" s="7" t="n">
        <v>845.96</v>
      </c>
      <c r="I7" s="8" t="str">
        <f aca="false">IF(AND(ISNUMBER(B7),ISNUMBER(C7)),B7+C7,"")</f>
        <v/>
      </c>
      <c r="J7" s="9" t="str">
        <f aca="false">IF(AND(A7&gt;=2008,ISNUMBER(I7),ISNUMBER(D7)),IF(D7&gt;I7,"Sim","Não"),"")</f>
        <v/>
      </c>
    </row>
    <row r="8" customFormat="false" ht="15" hidden="false" customHeight="false" outlineLevel="0" collapsed="false">
      <c r="A8" s="5" t="n">
        <v>2007</v>
      </c>
      <c r="B8" s="6"/>
      <c r="C8" s="7" t="n">
        <v>581.53</v>
      </c>
      <c r="D8" s="7" t="n">
        <v>13311.56</v>
      </c>
      <c r="E8" s="7" t="n">
        <v>6351.46</v>
      </c>
      <c r="F8" s="7" t="n">
        <v>4004.42</v>
      </c>
      <c r="G8" s="7" t="n">
        <v>1449.72</v>
      </c>
      <c r="H8" s="7" t="n">
        <v>518.45</v>
      </c>
      <c r="I8" s="8" t="str">
        <f aca="false">IF(AND(ISNUMBER(B8),ISNUMBER(C8)),B8+C8,"")</f>
        <v/>
      </c>
      <c r="J8" s="9" t="str">
        <f aca="false">IF(AND(A8&gt;=2008,ISNUMBER(I8),ISNUMBER(D8)),IF(D8&gt;I8,"Sim","Não"),"")</f>
        <v/>
      </c>
    </row>
    <row r="9" customFormat="false" ht="15" hidden="false" customHeight="false" outlineLevel="0" collapsed="false">
      <c r="A9" s="5" t="n">
        <v>2008</v>
      </c>
      <c r="B9" s="7" t="n">
        <v>12398.68</v>
      </c>
      <c r="C9" s="7" t="n">
        <v>581.53</v>
      </c>
      <c r="D9" s="7" t="n">
        <v>13311.56</v>
      </c>
      <c r="E9" s="7" t="n">
        <v>6351.46</v>
      </c>
      <c r="F9" s="7" t="n">
        <v>4004.42</v>
      </c>
      <c r="G9" s="7" t="n">
        <v>1449.72</v>
      </c>
      <c r="H9" s="7" t="n">
        <v>518.45</v>
      </c>
      <c r="I9" s="8" t="n">
        <f aca="false">IF(AND(ISNUMBER(B9),ISNUMBER(C9)),B9+C9,"")</f>
        <v>12980.21</v>
      </c>
      <c r="J9" s="9" t="str">
        <f aca="false">IF(AND(A9&gt;=2008,ISNUMBER(I9),ISNUMBER(D9)),IF(D9&gt;I9,"Sim","Não"),"")</f>
        <v>Sim</v>
      </c>
    </row>
    <row r="10" customFormat="false" ht="15" hidden="false" customHeight="false" outlineLevel="0" collapsed="false">
      <c r="A10" s="5" t="n">
        <v>2009</v>
      </c>
      <c r="B10" s="7" t="n">
        <v>5873.04</v>
      </c>
      <c r="C10" s="7" t="n">
        <v>378.17</v>
      </c>
      <c r="D10" s="7" t="n">
        <v>9910.34</v>
      </c>
      <c r="E10" s="7" t="n">
        <v>3943.08</v>
      </c>
      <c r="F10" s="7" t="n">
        <v>2020.43</v>
      </c>
      <c r="G10" s="7" t="n">
        <v>1027.92</v>
      </c>
      <c r="H10" s="7" t="n">
        <v>664.89</v>
      </c>
      <c r="I10" s="8" t="n">
        <f aca="false">IF(AND(ISNUMBER(B10),ISNUMBER(C10)),B10+C10,"")</f>
        <v>6251.21</v>
      </c>
      <c r="J10" s="9" t="str">
        <f aca="false">IF(AND(A10&gt;=2008,ISNUMBER(I10),ISNUMBER(D10)),IF(D10&gt;I10,"Sim","Não"),"")</f>
        <v>Sim</v>
      </c>
    </row>
    <row r="11" customFormat="false" ht="15" hidden="false" customHeight="false" outlineLevel="0" collapsed="false">
      <c r="A11" s="5" t="n">
        <v>2010</v>
      </c>
      <c r="B11" s="7" t="n">
        <v>5829.17</v>
      </c>
      <c r="C11" s="7" t="n">
        <v>378.17</v>
      </c>
      <c r="D11" s="7" t="n">
        <v>9910.34</v>
      </c>
      <c r="E11" s="7" t="n">
        <v>3943.08</v>
      </c>
      <c r="F11" s="7" t="n">
        <v>2020.43</v>
      </c>
      <c r="G11" s="7" t="n">
        <v>1027.92</v>
      </c>
      <c r="H11" s="7" t="n">
        <v>664.89</v>
      </c>
      <c r="I11" s="8" t="n">
        <f aca="false">IF(AND(ISNUMBER(B11),ISNUMBER(C11)),B11+C11,"")</f>
        <v>6207.34</v>
      </c>
      <c r="J11" s="9" t="str">
        <f aca="false">IF(AND(A11&gt;=2008,ISNUMBER(I11),ISNUMBER(D11)),IF(D11&gt;I11,"Sim","Não"),"")</f>
        <v>Sim</v>
      </c>
    </row>
    <row r="12" customFormat="false" ht="15" hidden="false" customHeight="false" outlineLevel="0" collapsed="false">
      <c r="A12" s="5" t="n">
        <v>2011</v>
      </c>
      <c r="B12" s="7" t="n">
        <v>5394.37</v>
      </c>
      <c r="C12" s="7" t="n">
        <v>351.55</v>
      </c>
      <c r="D12" s="7" t="n">
        <v>8976.17</v>
      </c>
      <c r="E12" s="7" t="n">
        <v>4059.43</v>
      </c>
      <c r="F12" s="7" t="n">
        <v>1879.88</v>
      </c>
      <c r="G12" s="7" t="n">
        <v>1699.81</v>
      </c>
      <c r="H12" s="7" t="n">
        <v>510.39</v>
      </c>
      <c r="I12" s="8" t="n">
        <f aca="false">IF(AND(ISNUMBER(B12),ISNUMBER(C12)),B12+C12,"")</f>
        <v>5745.92</v>
      </c>
      <c r="J12" s="9" t="str">
        <f aca="false">IF(AND(A12&gt;=2008,ISNUMBER(I12),ISNUMBER(D12)),IF(D12&gt;I12,"Sim","Não"),"")</f>
        <v>Sim</v>
      </c>
    </row>
    <row r="13" customFormat="false" ht="15" hidden="false" customHeight="false" outlineLevel="0" collapsed="false">
      <c r="A13" s="5" t="n">
        <v>2012</v>
      </c>
      <c r="B13" s="7" t="n">
        <v>4127.21</v>
      </c>
      <c r="C13" s="7" t="n">
        <v>351.55</v>
      </c>
      <c r="D13" s="7" t="n">
        <v>8976.17</v>
      </c>
      <c r="E13" s="7" t="n">
        <v>3947.56</v>
      </c>
      <c r="F13" s="7" t="n">
        <v>1427.8</v>
      </c>
      <c r="G13" s="7" t="n">
        <v>1125.97</v>
      </c>
      <c r="H13" s="7" t="n">
        <v>429.83</v>
      </c>
      <c r="I13" s="8" t="n">
        <f aca="false">IF(AND(ISNUMBER(B13),ISNUMBER(C13)),B13+C13,"")</f>
        <v>4478.76</v>
      </c>
      <c r="J13" s="9" t="str">
        <f aca="false">IF(AND(A13&gt;=2008,ISNUMBER(I13),ISNUMBER(D13)),IF(D13&gt;I13,"Sim","Não"),"")</f>
        <v>Sim</v>
      </c>
    </row>
    <row r="14" customFormat="false" ht="15" hidden="false" customHeight="false" outlineLevel="0" collapsed="false">
      <c r="A14" s="5" t="n">
        <v>2013</v>
      </c>
      <c r="B14" s="7" t="n">
        <v>5147.83</v>
      </c>
      <c r="C14" s="7" t="n">
        <v>351.55</v>
      </c>
      <c r="D14" s="7" t="n">
        <v>13481.6</v>
      </c>
      <c r="E14" s="7" t="n">
        <v>3947.56</v>
      </c>
      <c r="F14" s="7" t="n">
        <v>1427.8</v>
      </c>
      <c r="G14" s="7" t="n">
        <v>1125.97</v>
      </c>
      <c r="H14" s="7" t="n">
        <v>429.83</v>
      </c>
      <c r="I14" s="8" t="n">
        <f aca="false">IF(AND(ISNUMBER(B14),ISNUMBER(C14)),B14+C14,"")</f>
        <v>5499.38</v>
      </c>
      <c r="J14" s="9" t="str">
        <f aca="false">IF(AND(A14&gt;=2008,ISNUMBER(I14),ISNUMBER(D14)),IF(D14&gt;I14,"Sim","Não"),"")</f>
        <v>Sim</v>
      </c>
    </row>
    <row r="15" customFormat="false" ht="15" hidden="false" customHeight="false" outlineLevel="0" collapsed="false">
      <c r="A15" s="5" t="n">
        <v>2014</v>
      </c>
      <c r="B15" s="7" t="n">
        <v>4870.93</v>
      </c>
      <c r="C15" s="7" t="n">
        <v>642.27</v>
      </c>
      <c r="D15" s="7" t="n">
        <v>10904.42</v>
      </c>
      <c r="E15" s="7" t="n">
        <v>3602.16</v>
      </c>
      <c r="F15" s="7" t="n">
        <v>1887.33</v>
      </c>
      <c r="G15" s="7" t="n">
        <v>2118.72</v>
      </c>
      <c r="H15" s="7" t="n">
        <v>369.73</v>
      </c>
      <c r="I15" s="8" t="n">
        <f aca="false">IF(AND(ISNUMBER(B15),ISNUMBER(C15)),B15+C15,"")</f>
        <v>5513.2</v>
      </c>
      <c r="J15" s="9" t="str">
        <f aca="false">IF(AND(A15&gt;=2008,ISNUMBER(I15),ISNUMBER(D15)),IF(D15&gt;I15,"Sim","Não"),"")</f>
        <v>Sim</v>
      </c>
    </row>
    <row r="16" customFormat="false" ht="15" hidden="false" customHeight="false" outlineLevel="0" collapsed="false">
      <c r="A16" s="5" t="n">
        <v>2015</v>
      </c>
      <c r="B16" s="7" t="n">
        <v>5908.73</v>
      </c>
      <c r="C16" s="7" t="n">
        <v>514.56</v>
      </c>
      <c r="D16" s="7" t="n">
        <v>11131.65</v>
      </c>
      <c r="E16" s="7" t="n">
        <v>2432.87</v>
      </c>
      <c r="F16" s="7" t="n">
        <v>1206.65</v>
      </c>
      <c r="G16" s="7" t="n">
        <v>924.38</v>
      </c>
      <c r="H16" s="7" t="n">
        <v>618.55</v>
      </c>
      <c r="I16" s="8" t="n">
        <f aca="false">IF(AND(ISNUMBER(B16),ISNUMBER(C16)),B16+C16,"")</f>
        <v>6423.29</v>
      </c>
      <c r="J16" s="9" t="str">
        <f aca="false">IF(AND(A16&gt;=2008,ISNUMBER(I16),ISNUMBER(D16)),IF(D16&gt;I16,"Sim","Não"),"")</f>
        <v>Sim</v>
      </c>
    </row>
    <row r="17" customFormat="false" ht="15" hidden="false" customHeight="false" outlineLevel="0" collapsed="false">
      <c r="A17" s="5" t="n">
        <v>2016</v>
      </c>
      <c r="B17" s="7" t="n">
        <v>7077.57</v>
      </c>
      <c r="C17" s="7" t="n">
        <v>514.56</v>
      </c>
      <c r="D17" s="7" t="n">
        <v>7497.12</v>
      </c>
      <c r="E17" s="7" t="n">
        <v>2432.87</v>
      </c>
      <c r="F17" s="7" t="n">
        <v>1206.65</v>
      </c>
      <c r="G17" s="7" t="n">
        <v>924.38</v>
      </c>
      <c r="H17" s="7" t="n">
        <v>618.55</v>
      </c>
      <c r="I17" s="8" t="n">
        <f aca="false">IF(AND(ISNUMBER(B17),ISNUMBER(C17)),B17+C17,"")</f>
        <v>7592.13</v>
      </c>
      <c r="J17" s="9" t="str">
        <f aca="false">IF(AND(A17&gt;=2008,ISNUMBER(I17),ISNUMBER(D17)),IF(D17&gt;I17,"Sim","Não"),"")</f>
        <v>Não</v>
      </c>
    </row>
    <row r="18" customFormat="false" ht="15" hidden="false" customHeight="false" outlineLevel="0" collapsed="false">
      <c r="A18" s="5" t="n">
        <v>2017</v>
      </c>
      <c r="B18" s="7" t="n">
        <v>6758.36</v>
      </c>
      <c r="C18" s="7" t="n">
        <v>556.04</v>
      </c>
      <c r="D18" s="7" t="n">
        <v>7117.38</v>
      </c>
      <c r="E18" s="7" t="n">
        <v>2246.17</v>
      </c>
      <c r="F18" s="7" t="n">
        <v>1166.12</v>
      </c>
      <c r="G18" s="7" t="n">
        <v>925.88</v>
      </c>
      <c r="H18" s="7" t="n">
        <v>711.6</v>
      </c>
      <c r="I18" s="8" t="n">
        <f aca="false">IF(AND(ISNUMBER(B18),ISNUMBER(C18)),B18+C18,"")</f>
        <v>7314.4</v>
      </c>
      <c r="J18" s="9" t="str">
        <f aca="false">IF(AND(A18&gt;=2008,ISNUMBER(I18),ISNUMBER(D18)),IF(D18&gt;I18,"Sim","Não"),"")</f>
        <v>Não</v>
      </c>
    </row>
    <row r="19" customFormat="false" ht="15" hidden="false" customHeight="false" outlineLevel="0" collapsed="false">
      <c r="A19" s="5" t="n">
        <v>2018</v>
      </c>
      <c r="B19" s="7" t="n">
        <v>6957.77</v>
      </c>
      <c r="C19" s="7" t="n">
        <v>556.04</v>
      </c>
      <c r="D19" s="7" t="n">
        <v>7259.82</v>
      </c>
      <c r="E19" s="7" t="n">
        <v>2169.55</v>
      </c>
      <c r="F19" s="7" t="n">
        <v>1344.35</v>
      </c>
      <c r="G19" s="7" t="n">
        <v>917.77</v>
      </c>
      <c r="H19" s="7" t="n">
        <v>498.52</v>
      </c>
      <c r="I19" s="8" t="n">
        <f aca="false">IF(AND(ISNUMBER(B19),ISNUMBER(C19)),B19+C19,"")</f>
        <v>7513.81</v>
      </c>
      <c r="J19" s="9" t="str">
        <f aca="false">IF(AND(A19&gt;=2008,ISNUMBER(I19),ISNUMBER(D19)),IF(D19&gt;I19,"Sim","Não"),"")</f>
        <v>Não</v>
      </c>
    </row>
    <row r="20" customFormat="false" ht="15" hidden="false" customHeight="false" outlineLevel="0" collapsed="false">
      <c r="A20" s="5" t="n">
        <v>2019</v>
      </c>
      <c r="B20" s="7" t="n">
        <v>10700.58</v>
      </c>
      <c r="C20" s="7" t="n">
        <v>679.65</v>
      </c>
      <c r="D20" s="7" t="n">
        <v>6319.02</v>
      </c>
      <c r="E20" s="7" t="n">
        <v>1868.16</v>
      </c>
      <c r="F20" s="7" t="n">
        <v>1067.37</v>
      </c>
      <c r="G20" s="7" t="n">
        <v>1027.4</v>
      </c>
      <c r="H20" s="7" t="n">
        <v>514.48</v>
      </c>
      <c r="I20" s="8" t="n">
        <f aca="false">IF(AND(ISNUMBER(B20),ISNUMBER(C20)),B20+C20,"")</f>
        <v>11380.23</v>
      </c>
      <c r="J20" s="9" t="str">
        <f aca="false">IF(AND(A20&gt;=2008,ISNUMBER(I20),ISNUMBER(D20)),IF(D20&gt;I20,"Sim","Não"),"")</f>
        <v>Não</v>
      </c>
    </row>
    <row r="21" customFormat="false" ht="15" hidden="false" customHeight="false" outlineLevel="0" collapsed="false">
      <c r="A21" s="5" t="n">
        <v>2020</v>
      </c>
      <c r="B21" s="7" t="n">
        <v>10351.51</v>
      </c>
      <c r="C21" s="7" t="n">
        <v>668.55</v>
      </c>
      <c r="D21" s="7" t="n">
        <v>7902.65</v>
      </c>
      <c r="E21" s="7" t="n">
        <v>2226.05</v>
      </c>
      <c r="F21" s="7" t="n">
        <v>790.61</v>
      </c>
      <c r="G21" s="7" t="n">
        <v>888.62</v>
      </c>
      <c r="H21" s="7" t="n">
        <v>677.86</v>
      </c>
      <c r="I21" s="8" t="n">
        <f aca="false">IF(AND(ISNUMBER(B21),ISNUMBER(C21)),B21+C21,"")</f>
        <v>11020.06</v>
      </c>
      <c r="J21" s="9" t="str">
        <f aca="false">IF(AND(A21&gt;=2008,ISNUMBER(I21),ISNUMBER(D21)),IF(D21&gt;I21,"Sim","Não"),"")</f>
        <v>Não</v>
      </c>
    </row>
    <row r="22" customFormat="false" ht="15" hidden="false" customHeight="false" outlineLevel="0" collapsed="false">
      <c r="A22" s="5" t="n">
        <v>2021</v>
      </c>
      <c r="B22" s="7" t="n">
        <v>12177.19</v>
      </c>
      <c r="C22" s="7" t="n">
        <v>719.34</v>
      </c>
      <c r="D22" s="7" t="n">
        <v>8531.44</v>
      </c>
      <c r="E22" s="7" t="n">
        <v>2096.16</v>
      </c>
      <c r="F22" s="7" t="n">
        <v>926.98</v>
      </c>
      <c r="G22" s="7" t="n">
        <v>1526.57</v>
      </c>
      <c r="H22" s="7" t="n">
        <v>824.47</v>
      </c>
      <c r="I22" s="8" t="n">
        <f aca="false">IF(AND(ISNUMBER(B22),ISNUMBER(C22)),B22+C22,"")</f>
        <v>12896.53</v>
      </c>
      <c r="J22" s="9" t="str">
        <f aca="false">IF(AND(A22&gt;=2008,ISNUMBER(I22),ISNUMBER(D22)),IF(D22&gt;I22,"Sim","Não"),"")</f>
        <v>Não</v>
      </c>
    </row>
    <row r="23" customFormat="false" ht="15" hidden="false" customHeight="false" outlineLevel="0" collapsed="false">
      <c r="A23" s="5" t="n">
        <v>2022</v>
      </c>
      <c r="B23" s="7" t="n">
        <v>12473.98</v>
      </c>
      <c r="C23" s="7" t="n">
        <v>726.33</v>
      </c>
      <c r="D23" s="7" t="n">
        <v>10688.61</v>
      </c>
      <c r="E23" s="7" t="n">
        <v>2627.63</v>
      </c>
      <c r="F23" s="7" t="n">
        <v>1032.66</v>
      </c>
      <c r="G23" s="7" t="n">
        <v>755.25</v>
      </c>
      <c r="H23" s="7" t="n">
        <v>789.41</v>
      </c>
      <c r="I23" s="8" t="n">
        <f aca="false">IF(AND(ISNUMBER(B23),ISNUMBER(C23)),B23+C23,"")</f>
        <v>13200.31</v>
      </c>
      <c r="J23" s="9" t="str">
        <f aca="false">IF(AND(A23&gt;=2008,ISNUMBER(I23),ISNUMBER(D23)),IF(D23&gt;I23,"Sim","Não"),"")</f>
        <v>Não</v>
      </c>
    </row>
    <row r="24" customFormat="false" ht="15" hidden="false" customHeight="false" outlineLevel="0" collapsed="false">
      <c r="A24" s="5" t="n">
        <v>2023</v>
      </c>
      <c r="B24" s="7" t="n">
        <v>7806.28</v>
      </c>
      <c r="C24" s="7" t="n">
        <v>584.82</v>
      </c>
      <c r="D24" s="7" t="n">
        <v>11011.69</v>
      </c>
      <c r="E24" s="7" t="n">
        <v>3169.61</v>
      </c>
      <c r="F24" s="7" t="n">
        <v>765.17</v>
      </c>
      <c r="G24" s="7" t="n">
        <v>654.58</v>
      </c>
      <c r="H24" s="7" t="n">
        <v>723.13</v>
      </c>
      <c r="I24" s="8" t="n">
        <f aca="false">IF(AND(ISNUMBER(B24),ISNUMBER(C24)),B24+C24,"")</f>
        <v>8391.1</v>
      </c>
      <c r="J24" s="9" t="str">
        <f aca="false">IF(AND(A24&gt;=2008,ISNUMBER(I24),ISNUMBER(D24)),IF(D24&gt;I24,"Sim","Não"),"")</f>
        <v>Sim</v>
      </c>
    </row>
    <row r="25" customFormat="false" ht="15" hidden="false" customHeight="false" outlineLevel="0" collapsed="false">
      <c r="A25" s="5" t="n">
        <v>2024</v>
      </c>
      <c r="B25" s="7" t="n">
        <v>6070.82</v>
      </c>
      <c r="C25" s="7" t="n">
        <v>554.04</v>
      </c>
      <c r="D25" s="7" t="n">
        <v>8174.17</v>
      </c>
      <c r="E25" s="7" t="n">
        <v>3484.38</v>
      </c>
      <c r="F25" s="7" t="n">
        <v>475.18</v>
      </c>
      <c r="G25" s="7" t="n">
        <v>524.19</v>
      </c>
      <c r="H25" s="7" t="n">
        <v>842.44</v>
      </c>
      <c r="I25" s="8" t="n">
        <f aca="false">IF(AND(ISNUMBER(B25),ISNUMBER(C25)),B25+C25,"")</f>
        <v>6624.86</v>
      </c>
      <c r="J25" s="9" t="str">
        <f aca="false">IF(AND(A25&gt;=2008,ISNUMBER(I25),ISNUMBER(D25)),IF(D25&gt;I25,"Sim","Não"),"")</f>
        <v>Sim</v>
      </c>
    </row>
    <row r="26" customFormat="false" ht="15" hidden="false" customHeight="false" outlineLevel="0" collapsed="false">
      <c r="A26" s="5" t="n">
        <v>2025</v>
      </c>
      <c r="B26" s="7" t="n">
        <v>5110.68</v>
      </c>
      <c r="C26" s="7" t="n">
        <v>454.08</v>
      </c>
      <c r="D26" s="7" t="n">
        <v>7235.27</v>
      </c>
      <c r="E26" s="7" t="n">
        <v>2289.54</v>
      </c>
      <c r="F26" s="7" t="n">
        <v>402.36</v>
      </c>
      <c r="G26" s="7" t="n">
        <v>305.48</v>
      </c>
      <c r="H26" s="7" t="n">
        <v>291.21</v>
      </c>
      <c r="I26" s="8" t="n">
        <f aca="false">IF(AND(ISNUMBER(B26),ISNUMBER(C26)),B26+C26,"")</f>
        <v>5564.76</v>
      </c>
      <c r="J26" s="9" t="str">
        <f aca="false">IF(AND(A26&gt;=2008,ISNUMBER(I26),ISNUMBER(D26)),IF(D26&gt;I26,"Sim","Não"),"")</f>
        <v>Sim</v>
      </c>
    </row>
    <row r="27" customFormat="false" ht="15" hidden="false" customHeight="false" outlineLevel="0" collapsed="false">
      <c r="A27" s="5" t="n">
        <v>2026</v>
      </c>
      <c r="B27" s="7" t="n">
        <v>3362.94</v>
      </c>
      <c r="C27" s="6"/>
      <c r="D27" s="7" t="n">
        <v>5516.69</v>
      </c>
      <c r="E27" s="6"/>
      <c r="F27" s="6"/>
      <c r="G27" s="6"/>
      <c r="H27" s="6"/>
      <c r="I27" s="8" t="str">
        <f aca="false">IF(AND(ISNUMBER(B27),ISNUMBER(C27)),B27+C27,"")</f>
        <v/>
      </c>
      <c r="J27" s="9" t="str">
        <f aca="false">IF(AND(A27&gt;=2008,ISNUMBER(I27),ISNUMBER(D27)),IF(D27&gt;I27,"Sim","Não"),"")</f>
        <v/>
      </c>
    </row>
    <row r="29" customFormat="false" ht="15" hidden="false" customHeight="false" outlineLevel="0" collapsed="false">
      <c r="A29" s="10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20"/>
    <col collapsed="false" customWidth="true" hidden="false" outlineLevel="0" max="4" min="4" style="0" width="15"/>
    <col collapsed="false" customWidth="true" hidden="false" outlineLevel="0" max="5" min="5" style="0" width="18"/>
  </cols>
  <sheetData>
    <row r="1" customFormat="false" ht="36" hidden="false" customHeight="true" outlineLevel="0" collapsed="false">
      <c r="A1" s="4" t="s">
        <v>28</v>
      </c>
      <c r="B1" s="4" t="s">
        <v>17</v>
      </c>
      <c r="C1" s="4" t="s">
        <v>29</v>
      </c>
      <c r="D1" s="4" t="s">
        <v>30</v>
      </c>
      <c r="E1" s="4" t="s">
        <v>31</v>
      </c>
    </row>
    <row r="2" customFormat="false" ht="15" hidden="false" customHeight="false" outlineLevel="0" collapsed="false">
      <c r="A2" s="11" t="s">
        <v>18</v>
      </c>
      <c r="B2" s="9" t="n">
        <v>2008</v>
      </c>
      <c r="C2" s="12" t="n">
        <v>12398.68</v>
      </c>
      <c r="D2" s="6"/>
      <c r="E2" s="9" t="s">
        <v>32</v>
      </c>
    </row>
    <row r="3" customFormat="false" ht="15" hidden="false" customHeight="false" outlineLevel="0" collapsed="false">
      <c r="A3" s="11" t="s">
        <v>18</v>
      </c>
      <c r="B3" s="9" t="n">
        <v>2009</v>
      </c>
      <c r="C3" s="12" t="n">
        <v>5873.04</v>
      </c>
      <c r="D3" s="13" t="n">
        <v>-0.5263</v>
      </c>
      <c r="E3" s="9" t="s">
        <v>32</v>
      </c>
    </row>
    <row r="4" customFormat="false" ht="15" hidden="false" customHeight="false" outlineLevel="0" collapsed="false">
      <c r="A4" s="11" t="s">
        <v>18</v>
      </c>
      <c r="B4" s="9" t="n">
        <v>2010</v>
      </c>
      <c r="C4" s="12" t="n">
        <v>5829.17</v>
      </c>
      <c r="D4" s="13" t="n">
        <v>-0.0075</v>
      </c>
      <c r="E4" s="9" t="s">
        <v>32</v>
      </c>
    </row>
    <row r="5" customFormat="false" ht="15" hidden="false" customHeight="false" outlineLevel="0" collapsed="false">
      <c r="A5" s="11" t="s">
        <v>18</v>
      </c>
      <c r="B5" s="9" t="n">
        <v>2011</v>
      </c>
      <c r="C5" s="12" t="n">
        <v>5394.37</v>
      </c>
      <c r="D5" s="13" t="n">
        <v>-0.0746</v>
      </c>
      <c r="E5" s="9" t="s">
        <v>32</v>
      </c>
    </row>
    <row r="6" customFormat="false" ht="15" hidden="false" customHeight="false" outlineLevel="0" collapsed="false">
      <c r="A6" s="11" t="s">
        <v>18</v>
      </c>
      <c r="B6" s="9" t="n">
        <v>2012</v>
      </c>
      <c r="C6" s="12" t="n">
        <v>4127.21</v>
      </c>
      <c r="D6" s="13" t="n">
        <v>-0.2349</v>
      </c>
      <c r="E6" s="9" t="s">
        <v>32</v>
      </c>
    </row>
    <row r="7" customFormat="false" ht="15" hidden="false" customHeight="false" outlineLevel="0" collapsed="false">
      <c r="A7" s="11" t="s">
        <v>18</v>
      </c>
      <c r="B7" s="9" t="n">
        <v>2013</v>
      </c>
      <c r="C7" s="12" t="n">
        <v>5147.83</v>
      </c>
      <c r="D7" s="13" t="n">
        <v>0.2473</v>
      </c>
      <c r="E7" s="9" t="s">
        <v>32</v>
      </c>
    </row>
    <row r="8" customFormat="false" ht="15" hidden="false" customHeight="false" outlineLevel="0" collapsed="false">
      <c r="A8" s="11" t="s">
        <v>18</v>
      </c>
      <c r="B8" s="9" t="n">
        <v>2014</v>
      </c>
      <c r="C8" s="12" t="n">
        <v>4870.93</v>
      </c>
      <c r="D8" s="13" t="n">
        <v>-0.0538</v>
      </c>
      <c r="E8" s="9" t="s">
        <v>32</v>
      </c>
    </row>
    <row r="9" customFormat="false" ht="15" hidden="false" customHeight="false" outlineLevel="0" collapsed="false">
      <c r="A9" s="11" t="s">
        <v>18</v>
      </c>
      <c r="B9" s="9" t="n">
        <v>2015</v>
      </c>
      <c r="C9" s="12" t="n">
        <v>5908.73</v>
      </c>
      <c r="D9" s="13" t="n">
        <v>0.2131</v>
      </c>
      <c r="E9" s="9" t="s">
        <v>32</v>
      </c>
    </row>
    <row r="10" customFormat="false" ht="15" hidden="false" customHeight="false" outlineLevel="0" collapsed="false">
      <c r="A10" s="11" t="s">
        <v>18</v>
      </c>
      <c r="B10" s="9" t="n">
        <v>2016</v>
      </c>
      <c r="C10" s="12" t="n">
        <v>7077.57</v>
      </c>
      <c r="D10" s="13" t="n">
        <v>0.1978</v>
      </c>
      <c r="E10" s="9" t="s">
        <v>32</v>
      </c>
    </row>
    <row r="11" customFormat="false" ht="15" hidden="false" customHeight="false" outlineLevel="0" collapsed="false">
      <c r="A11" s="11" t="s">
        <v>18</v>
      </c>
      <c r="B11" s="9" t="n">
        <v>2017</v>
      </c>
      <c r="C11" s="12" t="n">
        <v>6758.36</v>
      </c>
      <c r="D11" s="13" t="n">
        <v>-0.0451</v>
      </c>
      <c r="E11" s="9" t="s">
        <v>32</v>
      </c>
    </row>
    <row r="12" customFormat="false" ht="15" hidden="false" customHeight="false" outlineLevel="0" collapsed="false">
      <c r="A12" s="11" t="s">
        <v>18</v>
      </c>
      <c r="B12" s="9" t="n">
        <v>2018</v>
      </c>
      <c r="C12" s="12" t="n">
        <v>6957.77</v>
      </c>
      <c r="D12" s="13" t="n">
        <v>0.0295</v>
      </c>
      <c r="E12" s="9" t="s">
        <v>32</v>
      </c>
    </row>
    <row r="13" customFormat="false" ht="15" hidden="false" customHeight="false" outlineLevel="0" collapsed="false">
      <c r="A13" s="11" t="s">
        <v>18</v>
      </c>
      <c r="B13" s="9" t="n">
        <v>2019</v>
      </c>
      <c r="C13" s="12" t="n">
        <v>10700.58</v>
      </c>
      <c r="D13" s="13" t="n">
        <v>0.5379</v>
      </c>
      <c r="E13" s="9" t="s">
        <v>32</v>
      </c>
    </row>
    <row r="14" customFormat="false" ht="15" hidden="false" customHeight="false" outlineLevel="0" collapsed="false">
      <c r="A14" s="11" t="s">
        <v>18</v>
      </c>
      <c r="B14" s="9" t="n">
        <v>2020</v>
      </c>
      <c r="C14" s="12" t="n">
        <v>10351.51</v>
      </c>
      <c r="D14" s="13" t="n">
        <v>-0.0326</v>
      </c>
      <c r="E14" s="9" t="s">
        <v>32</v>
      </c>
    </row>
    <row r="15" customFormat="false" ht="15" hidden="false" customHeight="false" outlineLevel="0" collapsed="false">
      <c r="A15" s="11" t="s">
        <v>18</v>
      </c>
      <c r="B15" s="9" t="n">
        <v>2021</v>
      </c>
      <c r="C15" s="12" t="n">
        <v>12177.19</v>
      </c>
      <c r="D15" s="13" t="n">
        <v>0.1764</v>
      </c>
      <c r="E15" s="9" t="s">
        <v>32</v>
      </c>
    </row>
    <row r="16" customFormat="false" ht="15" hidden="false" customHeight="false" outlineLevel="0" collapsed="false">
      <c r="A16" s="11" t="s">
        <v>18</v>
      </c>
      <c r="B16" s="9" t="n">
        <v>2022</v>
      </c>
      <c r="C16" s="12" t="n">
        <v>12473.98</v>
      </c>
      <c r="D16" s="13" t="n">
        <v>0.0244</v>
      </c>
      <c r="E16" s="9" t="s">
        <v>32</v>
      </c>
    </row>
    <row r="17" customFormat="false" ht="15" hidden="false" customHeight="false" outlineLevel="0" collapsed="false">
      <c r="A17" s="11" t="s">
        <v>18</v>
      </c>
      <c r="B17" s="9" t="n">
        <v>2023</v>
      </c>
      <c r="C17" s="12" t="n">
        <v>7806.28</v>
      </c>
      <c r="D17" s="13" t="n">
        <v>-0.3742</v>
      </c>
      <c r="E17" s="9" t="s">
        <v>32</v>
      </c>
    </row>
    <row r="18" customFormat="false" ht="15" hidden="false" customHeight="false" outlineLevel="0" collapsed="false">
      <c r="A18" s="11" t="s">
        <v>18</v>
      </c>
      <c r="B18" s="9" t="n">
        <v>2024</v>
      </c>
      <c r="C18" s="12" t="n">
        <v>6070.82</v>
      </c>
      <c r="D18" s="13" t="n">
        <v>-0.2223</v>
      </c>
      <c r="E18" s="9" t="s">
        <v>32</v>
      </c>
    </row>
    <row r="19" customFormat="false" ht="15" hidden="false" customHeight="false" outlineLevel="0" collapsed="false">
      <c r="A19" s="11" t="s">
        <v>18</v>
      </c>
      <c r="B19" s="9" t="n">
        <v>2025</v>
      </c>
      <c r="C19" s="12" t="n">
        <v>5110.68</v>
      </c>
      <c r="D19" s="13" t="n">
        <v>-0.1582</v>
      </c>
      <c r="E19" s="9" t="s">
        <v>32</v>
      </c>
    </row>
    <row r="20" customFormat="false" ht="15" hidden="false" customHeight="false" outlineLevel="0" collapsed="false">
      <c r="A20" s="11" t="s">
        <v>18</v>
      </c>
      <c r="B20" s="9" t="n">
        <v>2026</v>
      </c>
      <c r="C20" s="12" t="n">
        <v>3362.94</v>
      </c>
      <c r="D20" s="13" t="n">
        <v>-0.342</v>
      </c>
      <c r="E20" s="9" t="s">
        <v>32</v>
      </c>
    </row>
    <row r="21" customFormat="false" ht="15" hidden="false" customHeight="false" outlineLevel="0" collapsed="false">
      <c r="A21" s="11" t="s">
        <v>19</v>
      </c>
      <c r="B21" s="9" t="n">
        <v>2001</v>
      </c>
      <c r="C21" s="12" t="n">
        <v>1551.8</v>
      </c>
      <c r="D21" s="6"/>
      <c r="E21" s="9" t="s">
        <v>33</v>
      </c>
    </row>
    <row r="22" customFormat="false" ht="15" hidden="false" customHeight="false" outlineLevel="0" collapsed="false">
      <c r="A22" s="11" t="s">
        <v>19</v>
      </c>
      <c r="B22" s="9" t="n">
        <v>2002</v>
      </c>
      <c r="C22" s="12" t="n">
        <v>1551.8</v>
      </c>
      <c r="D22" s="6"/>
      <c r="E22" s="9" t="s">
        <v>33</v>
      </c>
    </row>
    <row r="23" customFormat="false" ht="15" hidden="false" customHeight="false" outlineLevel="0" collapsed="false">
      <c r="A23" s="11" t="s">
        <v>19</v>
      </c>
      <c r="B23" s="9" t="n">
        <v>2003</v>
      </c>
      <c r="C23" s="12" t="n">
        <v>1380.02</v>
      </c>
      <c r="D23" s="6"/>
      <c r="E23" s="9" t="s">
        <v>33</v>
      </c>
    </row>
    <row r="24" customFormat="false" ht="15" hidden="false" customHeight="false" outlineLevel="0" collapsed="false">
      <c r="A24" s="11" t="s">
        <v>19</v>
      </c>
      <c r="B24" s="9" t="n">
        <v>2004</v>
      </c>
      <c r="C24" s="12" t="n">
        <v>1380.02</v>
      </c>
      <c r="D24" s="6"/>
      <c r="E24" s="9" t="s">
        <v>33</v>
      </c>
    </row>
    <row r="25" customFormat="false" ht="15" hidden="false" customHeight="false" outlineLevel="0" collapsed="false">
      <c r="A25" s="11" t="s">
        <v>19</v>
      </c>
      <c r="B25" s="9" t="n">
        <v>2005</v>
      </c>
      <c r="C25" s="12" t="n">
        <v>941.24</v>
      </c>
      <c r="D25" s="6"/>
      <c r="E25" s="9" t="s">
        <v>33</v>
      </c>
    </row>
    <row r="26" customFormat="false" ht="15" hidden="false" customHeight="false" outlineLevel="0" collapsed="false">
      <c r="A26" s="11" t="s">
        <v>19</v>
      </c>
      <c r="B26" s="9" t="n">
        <v>2006</v>
      </c>
      <c r="C26" s="12" t="n">
        <v>941.24</v>
      </c>
      <c r="D26" s="6"/>
      <c r="E26" s="9" t="s">
        <v>33</v>
      </c>
    </row>
    <row r="27" customFormat="false" ht="15" hidden="false" customHeight="false" outlineLevel="0" collapsed="false">
      <c r="A27" s="11" t="s">
        <v>19</v>
      </c>
      <c r="B27" s="9" t="n">
        <v>2007</v>
      </c>
      <c r="C27" s="12" t="n">
        <v>581.53</v>
      </c>
      <c r="D27" s="6"/>
      <c r="E27" s="9" t="s">
        <v>33</v>
      </c>
    </row>
    <row r="28" customFormat="false" ht="15" hidden="false" customHeight="false" outlineLevel="0" collapsed="false">
      <c r="A28" s="11" t="s">
        <v>19</v>
      </c>
      <c r="B28" s="9" t="n">
        <v>2008</v>
      </c>
      <c r="C28" s="12" t="n">
        <v>581.53</v>
      </c>
      <c r="D28" s="6"/>
      <c r="E28" s="9" t="s">
        <v>33</v>
      </c>
    </row>
    <row r="29" customFormat="false" ht="15" hidden="false" customHeight="false" outlineLevel="0" collapsed="false">
      <c r="A29" s="11" t="s">
        <v>19</v>
      </c>
      <c r="B29" s="9" t="n">
        <v>2009</v>
      </c>
      <c r="C29" s="12" t="n">
        <v>378.17</v>
      </c>
      <c r="D29" s="6"/>
      <c r="E29" s="9" t="s">
        <v>33</v>
      </c>
    </row>
    <row r="30" customFormat="false" ht="15" hidden="false" customHeight="false" outlineLevel="0" collapsed="false">
      <c r="A30" s="11" t="s">
        <v>19</v>
      </c>
      <c r="B30" s="9" t="n">
        <v>2010</v>
      </c>
      <c r="C30" s="12" t="n">
        <v>378.17</v>
      </c>
      <c r="D30" s="6"/>
      <c r="E30" s="9" t="s">
        <v>33</v>
      </c>
    </row>
    <row r="31" customFormat="false" ht="15" hidden="false" customHeight="false" outlineLevel="0" collapsed="false">
      <c r="A31" s="11" t="s">
        <v>19</v>
      </c>
      <c r="B31" s="9" t="n">
        <v>2011</v>
      </c>
      <c r="C31" s="12" t="n">
        <v>351.55</v>
      </c>
      <c r="D31" s="6"/>
      <c r="E31" s="9" t="s">
        <v>33</v>
      </c>
    </row>
    <row r="32" customFormat="false" ht="15" hidden="false" customHeight="false" outlineLevel="0" collapsed="false">
      <c r="A32" s="11" t="s">
        <v>19</v>
      </c>
      <c r="B32" s="9" t="n">
        <v>2012</v>
      </c>
      <c r="C32" s="12" t="n">
        <v>351.55</v>
      </c>
      <c r="D32" s="6"/>
      <c r="E32" s="9" t="s">
        <v>33</v>
      </c>
    </row>
    <row r="33" customFormat="false" ht="15" hidden="false" customHeight="false" outlineLevel="0" collapsed="false">
      <c r="A33" s="11" t="s">
        <v>19</v>
      </c>
      <c r="B33" s="9" t="n">
        <v>2013</v>
      </c>
      <c r="C33" s="12" t="n">
        <v>351.55</v>
      </c>
      <c r="D33" s="6"/>
      <c r="E33" s="9" t="s">
        <v>33</v>
      </c>
    </row>
    <row r="34" customFormat="false" ht="15" hidden="false" customHeight="false" outlineLevel="0" collapsed="false">
      <c r="A34" s="11" t="s">
        <v>19</v>
      </c>
      <c r="B34" s="9" t="n">
        <v>2014</v>
      </c>
      <c r="C34" s="12" t="n">
        <v>642.27</v>
      </c>
      <c r="D34" s="6"/>
      <c r="E34" s="9" t="s">
        <v>32</v>
      </c>
    </row>
    <row r="35" customFormat="false" ht="15" hidden="false" customHeight="false" outlineLevel="0" collapsed="false">
      <c r="A35" s="11" t="s">
        <v>19</v>
      </c>
      <c r="B35" s="9" t="n">
        <v>2015</v>
      </c>
      <c r="C35" s="12" t="n">
        <v>514.56</v>
      </c>
      <c r="D35" s="6"/>
      <c r="E35" s="9" t="s">
        <v>33</v>
      </c>
    </row>
    <row r="36" customFormat="false" ht="15" hidden="false" customHeight="false" outlineLevel="0" collapsed="false">
      <c r="A36" s="11" t="s">
        <v>19</v>
      </c>
      <c r="B36" s="9" t="n">
        <v>2016</v>
      </c>
      <c r="C36" s="12" t="n">
        <v>514.56</v>
      </c>
      <c r="D36" s="6"/>
      <c r="E36" s="9" t="s">
        <v>33</v>
      </c>
    </row>
    <row r="37" customFormat="false" ht="15" hidden="false" customHeight="false" outlineLevel="0" collapsed="false">
      <c r="A37" s="11" t="s">
        <v>19</v>
      </c>
      <c r="B37" s="9" t="n">
        <v>2017</v>
      </c>
      <c r="C37" s="12" t="n">
        <v>556.04</v>
      </c>
      <c r="D37" s="6"/>
      <c r="E37" s="9" t="s">
        <v>33</v>
      </c>
    </row>
    <row r="38" customFormat="false" ht="15" hidden="false" customHeight="false" outlineLevel="0" collapsed="false">
      <c r="A38" s="11" t="s">
        <v>19</v>
      </c>
      <c r="B38" s="9" t="n">
        <v>2018</v>
      </c>
      <c r="C38" s="12" t="n">
        <v>556.04</v>
      </c>
      <c r="D38" s="6"/>
      <c r="E38" s="9" t="s">
        <v>33</v>
      </c>
    </row>
    <row r="39" customFormat="false" ht="15" hidden="false" customHeight="false" outlineLevel="0" collapsed="false">
      <c r="A39" s="11" t="s">
        <v>19</v>
      </c>
      <c r="B39" s="9" t="n">
        <v>2019</v>
      </c>
      <c r="C39" s="12" t="n">
        <v>679.65</v>
      </c>
      <c r="D39" s="6"/>
      <c r="E39" s="9" t="s">
        <v>32</v>
      </c>
    </row>
    <row r="40" customFormat="false" ht="15" hidden="false" customHeight="false" outlineLevel="0" collapsed="false">
      <c r="A40" s="11" t="s">
        <v>19</v>
      </c>
      <c r="B40" s="9" t="n">
        <v>2020</v>
      </c>
      <c r="C40" s="12" t="n">
        <v>668.55</v>
      </c>
      <c r="D40" s="13" t="n">
        <v>-0.0163</v>
      </c>
      <c r="E40" s="9" t="s">
        <v>32</v>
      </c>
    </row>
    <row r="41" customFormat="false" ht="15" hidden="false" customHeight="false" outlineLevel="0" collapsed="false">
      <c r="A41" s="11" t="s">
        <v>19</v>
      </c>
      <c r="B41" s="9" t="n">
        <v>2021</v>
      </c>
      <c r="C41" s="12" t="n">
        <v>719.34</v>
      </c>
      <c r="D41" s="13" t="n">
        <v>0.076</v>
      </c>
      <c r="E41" s="9" t="s">
        <v>32</v>
      </c>
    </row>
    <row r="42" customFormat="false" ht="15" hidden="false" customHeight="false" outlineLevel="0" collapsed="false">
      <c r="A42" s="11" t="s">
        <v>19</v>
      </c>
      <c r="B42" s="9" t="n">
        <v>2022</v>
      </c>
      <c r="C42" s="12" t="n">
        <v>726.33</v>
      </c>
      <c r="D42" s="13" t="n">
        <v>0.0097</v>
      </c>
      <c r="E42" s="9" t="s">
        <v>32</v>
      </c>
    </row>
    <row r="43" customFormat="false" ht="15" hidden="false" customHeight="false" outlineLevel="0" collapsed="false">
      <c r="A43" s="11" t="s">
        <v>19</v>
      </c>
      <c r="B43" s="9" t="n">
        <v>2023</v>
      </c>
      <c r="C43" s="12" t="n">
        <v>584.82</v>
      </c>
      <c r="D43" s="13" t="n">
        <v>-0.1948</v>
      </c>
      <c r="E43" s="9" t="s">
        <v>32</v>
      </c>
    </row>
    <row r="44" customFormat="false" ht="15" hidden="false" customHeight="false" outlineLevel="0" collapsed="false">
      <c r="A44" s="11" t="s">
        <v>19</v>
      </c>
      <c r="B44" s="9" t="n">
        <v>2024</v>
      </c>
      <c r="C44" s="12" t="n">
        <v>554.04</v>
      </c>
      <c r="D44" s="13" t="n">
        <v>-0.0526</v>
      </c>
      <c r="E44" s="9" t="s">
        <v>32</v>
      </c>
    </row>
    <row r="45" customFormat="false" ht="15" hidden="false" customHeight="false" outlineLevel="0" collapsed="false">
      <c r="A45" s="11" t="s">
        <v>19</v>
      </c>
      <c r="B45" s="9" t="n">
        <v>2025</v>
      </c>
      <c r="C45" s="12" t="n">
        <v>454.08</v>
      </c>
      <c r="D45" s="13" t="n">
        <v>-0.1804</v>
      </c>
      <c r="E45" s="9" t="s">
        <v>32</v>
      </c>
    </row>
    <row r="46" customFormat="false" ht="15" hidden="false" customHeight="false" outlineLevel="0" collapsed="false">
      <c r="A46" s="11" t="s">
        <v>21</v>
      </c>
      <c r="B46" s="9" t="n">
        <v>2001</v>
      </c>
      <c r="C46" s="12" t="n">
        <v>12186.41</v>
      </c>
      <c r="D46" s="6"/>
      <c r="E46" s="9" t="s">
        <v>33</v>
      </c>
    </row>
    <row r="47" customFormat="false" ht="15" hidden="false" customHeight="false" outlineLevel="0" collapsed="false">
      <c r="A47" s="11" t="s">
        <v>21</v>
      </c>
      <c r="B47" s="9" t="n">
        <v>2002</v>
      </c>
      <c r="C47" s="12" t="n">
        <v>12186.41</v>
      </c>
      <c r="D47" s="6"/>
      <c r="E47" s="9" t="s">
        <v>33</v>
      </c>
    </row>
    <row r="48" customFormat="false" ht="15" hidden="false" customHeight="false" outlineLevel="0" collapsed="false">
      <c r="A48" s="11" t="s">
        <v>21</v>
      </c>
      <c r="B48" s="9" t="n">
        <v>2003</v>
      </c>
      <c r="C48" s="12" t="n">
        <v>12186.41</v>
      </c>
      <c r="D48" s="6"/>
      <c r="E48" s="9" t="s">
        <v>33</v>
      </c>
    </row>
    <row r="49" customFormat="false" ht="15" hidden="false" customHeight="false" outlineLevel="0" collapsed="false">
      <c r="A49" s="11" t="s">
        <v>21</v>
      </c>
      <c r="B49" s="9" t="n">
        <v>2004</v>
      </c>
      <c r="C49" s="12" t="n">
        <v>12186.41</v>
      </c>
      <c r="D49" s="6"/>
      <c r="E49" s="9" t="s">
        <v>33</v>
      </c>
    </row>
    <row r="50" customFormat="false" ht="15" hidden="false" customHeight="false" outlineLevel="0" collapsed="false">
      <c r="A50" s="11" t="s">
        <v>21</v>
      </c>
      <c r="B50" s="9" t="n">
        <v>2005</v>
      </c>
      <c r="C50" s="12" t="n">
        <v>8172.6</v>
      </c>
      <c r="D50" s="6"/>
      <c r="E50" s="9" t="s">
        <v>33</v>
      </c>
    </row>
    <row r="51" customFormat="false" ht="15" hidden="false" customHeight="false" outlineLevel="0" collapsed="false">
      <c r="A51" s="11" t="s">
        <v>21</v>
      </c>
      <c r="B51" s="9" t="n">
        <v>2006</v>
      </c>
      <c r="C51" s="12" t="n">
        <v>8172.6</v>
      </c>
      <c r="D51" s="6"/>
      <c r="E51" s="9" t="s">
        <v>33</v>
      </c>
    </row>
    <row r="52" customFormat="false" ht="15" hidden="false" customHeight="false" outlineLevel="0" collapsed="false">
      <c r="A52" s="11" t="s">
        <v>21</v>
      </c>
      <c r="B52" s="9" t="n">
        <v>2007</v>
      </c>
      <c r="C52" s="12" t="n">
        <v>6351.46</v>
      </c>
      <c r="D52" s="6"/>
      <c r="E52" s="9" t="s">
        <v>33</v>
      </c>
    </row>
    <row r="53" customFormat="false" ht="15" hidden="false" customHeight="false" outlineLevel="0" collapsed="false">
      <c r="A53" s="11" t="s">
        <v>21</v>
      </c>
      <c r="B53" s="9" t="n">
        <v>2008</v>
      </c>
      <c r="C53" s="12" t="n">
        <v>6351.46</v>
      </c>
      <c r="D53" s="6"/>
      <c r="E53" s="9" t="s">
        <v>33</v>
      </c>
    </row>
    <row r="54" customFormat="false" ht="15" hidden="false" customHeight="false" outlineLevel="0" collapsed="false">
      <c r="A54" s="11" t="s">
        <v>21</v>
      </c>
      <c r="B54" s="9" t="n">
        <v>2009</v>
      </c>
      <c r="C54" s="12" t="n">
        <v>3943.08</v>
      </c>
      <c r="D54" s="6"/>
      <c r="E54" s="9" t="s">
        <v>33</v>
      </c>
    </row>
    <row r="55" customFormat="false" ht="15" hidden="false" customHeight="false" outlineLevel="0" collapsed="false">
      <c r="A55" s="11" t="s">
        <v>21</v>
      </c>
      <c r="B55" s="9" t="n">
        <v>2010</v>
      </c>
      <c r="C55" s="12" t="n">
        <v>3943.08</v>
      </c>
      <c r="D55" s="6"/>
      <c r="E55" s="9" t="s">
        <v>33</v>
      </c>
    </row>
    <row r="56" customFormat="false" ht="15" hidden="false" customHeight="false" outlineLevel="0" collapsed="false">
      <c r="A56" s="11" t="s">
        <v>21</v>
      </c>
      <c r="B56" s="9" t="n">
        <v>2011</v>
      </c>
      <c r="C56" s="12" t="n">
        <v>4059.43</v>
      </c>
      <c r="D56" s="6"/>
      <c r="E56" s="9" t="s">
        <v>32</v>
      </c>
    </row>
    <row r="57" customFormat="false" ht="15" hidden="false" customHeight="false" outlineLevel="0" collapsed="false">
      <c r="A57" s="11" t="s">
        <v>21</v>
      </c>
      <c r="B57" s="9" t="n">
        <v>2012</v>
      </c>
      <c r="C57" s="12" t="n">
        <v>3947.56</v>
      </c>
      <c r="D57" s="6"/>
      <c r="E57" s="9" t="s">
        <v>33</v>
      </c>
    </row>
    <row r="58" customFormat="false" ht="15" hidden="false" customHeight="false" outlineLevel="0" collapsed="false">
      <c r="A58" s="11" t="s">
        <v>21</v>
      </c>
      <c r="B58" s="9" t="n">
        <v>2013</v>
      </c>
      <c r="C58" s="12" t="n">
        <v>3947.56</v>
      </c>
      <c r="D58" s="6"/>
      <c r="E58" s="9" t="s">
        <v>33</v>
      </c>
    </row>
    <row r="59" customFormat="false" ht="15" hidden="false" customHeight="false" outlineLevel="0" collapsed="false">
      <c r="A59" s="11" t="s">
        <v>21</v>
      </c>
      <c r="B59" s="9" t="n">
        <v>2014</v>
      </c>
      <c r="C59" s="12" t="n">
        <v>3602.16</v>
      </c>
      <c r="D59" s="6"/>
      <c r="E59" s="9" t="s">
        <v>32</v>
      </c>
    </row>
    <row r="60" customFormat="false" ht="15" hidden="false" customHeight="false" outlineLevel="0" collapsed="false">
      <c r="A60" s="11" t="s">
        <v>21</v>
      </c>
      <c r="B60" s="9" t="n">
        <v>2015</v>
      </c>
      <c r="C60" s="12" t="n">
        <v>2432.87</v>
      </c>
      <c r="D60" s="6"/>
      <c r="E60" s="9" t="s">
        <v>33</v>
      </c>
    </row>
    <row r="61" customFormat="false" ht="15" hidden="false" customHeight="false" outlineLevel="0" collapsed="false">
      <c r="A61" s="11" t="s">
        <v>21</v>
      </c>
      <c r="B61" s="9" t="n">
        <v>2016</v>
      </c>
      <c r="C61" s="12" t="n">
        <v>2432.87</v>
      </c>
      <c r="D61" s="6"/>
      <c r="E61" s="9" t="s">
        <v>33</v>
      </c>
    </row>
    <row r="62" customFormat="false" ht="15" hidden="false" customHeight="false" outlineLevel="0" collapsed="false">
      <c r="A62" s="11" t="s">
        <v>21</v>
      </c>
      <c r="B62" s="9" t="n">
        <v>2017</v>
      </c>
      <c r="C62" s="12" t="n">
        <v>2246.17</v>
      </c>
      <c r="D62" s="6"/>
      <c r="E62" s="9" t="s">
        <v>32</v>
      </c>
    </row>
    <row r="63" customFormat="false" ht="15" hidden="false" customHeight="false" outlineLevel="0" collapsed="false">
      <c r="A63" s="11" t="s">
        <v>21</v>
      </c>
      <c r="B63" s="9" t="n">
        <v>2018</v>
      </c>
      <c r="C63" s="12" t="n">
        <v>2169.55</v>
      </c>
      <c r="D63" s="13" t="n">
        <v>-0.0341</v>
      </c>
      <c r="E63" s="9" t="s">
        <v>32</v>
      </c>
    </row>
    <row r="64" customFormat="false" ht="15" hidden="false" customHeight="false" outlineLevel="0" collapsed="false">
      <c r="A64" s="11" t="s">
        <v>21</v>
      </c>
      <c r="B64" s="9" t="n">
        <v>2019</v>
      </c>
      <c r="C64" s="12" t="n">
        <v>1868.16</v>
      </c>
      <c r="D64" s="13" t="n">
        <v>-0.1389</v>
      </c>
      <c r="E64" s="9" t="s">
        <v>32</v>
      </c>
    </row>
    <row r="65" customFormat="false" ht="15" hidden="false" customHeight="false" outlineLevel="0" collapsed="false">
      <c r="A65" s="11" t="s">
        <v>21</v>
      </c>
      <c r="B65" s="9" t="n">
        <v>2020</v>
      </c>
      <c r="C65" s="12" t="n">
        <v>2226.05</v>
      </c>
      <c r="D65" s="13" t="n">
        <v>0.1916</v>
      </c>
      <c r="E65" s="9" t="s">
        <v>32</v>
      </c>
    </row>
    <row r="66" customFormat="false" ht="15" hidden="false" customHeight="false" outlineLevel="0" collapsed="false">
      <c r="A66" s="11" t="s">
        <v>21</v>
      </c>
      <c r="B66" s="9" t="n">
        <v>2021</v>
      </c>
      <c r="C66" s="12" t="n">
        <v>2096.16</v>
      </c>
      <c r="D66" s="13" t="n">
        <v>-0.0583</v>
      </c>
      <c r="E66" s="9" t="s">
        <v>32</v>
      </c>
    </row>
    <row r="67" customFormat="false" ht="15" hidden="false" customHeight="false" outlineLevel="0" collapsed="false">
      <c r="A67" s="11" t="s">
        <v>21</v>
      </c>
      <c r="B67" s="9" t="n">
        <v>2022</v>
      </c>
      <c r="C67" s="12" t="n">
        <v>2627.63</v>
      </c>
      <c r="D67" s="13" t="n">
        <v>0.2535</v>
      </c>
      <c r="E67" s="9" t="s">
        <v>32</v>
      </c>
    </row>
    <row r="68" customFormat="false" ht="15" hidden="false" customHeight="false" outlineLevel="0" collapsed="false">
      <c r="A68" s="11" t="s">
        <v>21</v>
      </c>
      <c r="B68" s="9" t="n">
        <v>2023</v>
      </c>
      <c r="C68" s="12" t="n">
        <v>3169.61</v>
      </c>
      <c r="D68" s="13" t="n">
        <v>0.2063</v>
      </c>
      <c r="E68" s="9" t="s">
        <v>32</v>
      </c>
    </row>
    <row r="69" customFormat="false" ht="15" hidden="false" customHeight="false" outlineLevel="0" collapsed="false">
      <c r="A69" s="11" t="s">
        <v>21</v>
      </c>
      <c r="B69" s="9" t="n">
        <v>2024</v>
      </c>
      <c r="C69" s="12" t="n">
        <v>3484.38</v>
      </c>
      <c r="D69" s="13" t="n">
        <v>0.0993</v>
      </c>
      <c r="E69" s="9" t="s">
        <v>32</v>
      </c>
    </row>
    <row r="70" customFormat="false" ht="15" hidden="false" customHeight="false" outlineLevel="0" collapsed="false">
      <c r="A70" s="11" t="s">
        <v>21</v>
      </c>
      <c r="B70" s="9" t="n">
        <v>2025</v>
      </c>
      <c r="C70" s="12" t="n">
        <v>2289.54</v>
      </c>
      <c r="D70" s="13" t="n">
        <v>-0.3429</v>
      </c>
      <c r="E70" s="9" t="s">
        <v>32</v>
      </c>
    </row>
    <row r="71" customFormat="false" ht="15" hidden="false" customHeight="false" outlineLevel="0" collapsed="false">
      <c r="A71" s="11" t="s">
        <v>20</v>
      </c>
      <c r="B71" s="9" t="n">
        <v>2001</v>
      </c>
      <c r="C71" s="12" t="n">
        <v>26933.02</v>
      </c>
      <c r="D71" s="6"/>
      <c r="E71" s="9" t="s">
        <v>33</v>
      </c>
    </row>
    <row r="72" customFormat="false" ht="15" hidden="false" customHeight="false" outlineLevel="0" collapsed="false">
      <c r="A72" s="11" t="s">
        <v>20</v>
      </c>
      <c r="B72" s="9" t="n">
        <v>2002</v>
      </c>
      <c r="C72" s="12" t="n">
        <v>26933.02</v>
      </c>
      <c r="D72" s="6"/>
      <c r="E72" s="9" t="s">
        <v>33</v>
      </c>
    </row>
    <row r="73" customFormat="false" ht="15" hidden="false" customHeight="false" outlineLevel="0" collapsed="false">
      <c r="A73" s="11" t="s">
        <v>20</v>
      </c>
      <c r="B73" s="9" t="n">
        <v>2003</v>
      </c>
      <c r="C73" s="12" t="n">
        <v>28770.33</v>
      </c>
      <c r="D73" s="6"/>
      <c r="E73" s="9" t="s">
        <v>33</v>
      </c>
    </row>
    <row r="74" customFormat="false" ht="15" hidden="false" customHeight="false" outlineLevel="0" collapsed="false">
      <c r="A74" s="11" t="s">
        <v>20</v>
      </c>
      <c r="B74" s="9" t="n">
        <v>2004</v>
      </c>
      <c r="C74" s="12" t="n">
        <v>28770.33</v>
      </c>
      <c r="D74" s="6"/>
      <c r="E74" s="9" t="s">
        <v>33</v>
      </c>
    </row>
    <row r="75" customFormat="false" ht="15" hidden="false" customHeight="false" outlineLevel="0" collapsed="false">
      <c r="A75" s="11" t="s">
        <v>20</v>
      </c>
      <c r="B75" s="9" t="n">
        <v>2005</v>
      </c>
      <c r="C75" s="12" t="n">
        <v>16877.45</v>
      </c>
      <c r="D75" s="6"/>
      <c r="E75" s="9" t="s">
        <v>33</v>
      </c>
    </row>
    <row r="76" customFormat="false" ht="15" hidden="false" customHeight="false" outlineLevel="0" collapsed="false">
      <c r="A76" s="11" t="s">
        <v>20</v>
      </c>
      <c r="B76" s="9" t="n">
        <v>2006</v>
      </c>
      <c r="C76" s="12" t="n">
        <v>16877.45</v>
      </c>
      <c r="D76" s="6"/>
      <c r="E76" s="9" t="s">
        <v>33</v>
      </c>
    </row>
    <row r="77" customFormat="false" ht="15" hidden="false" customHeight="false" outlineLevel="0" collapsed="false">
      <c r="A77" s="11" t="s">
        <v>20</v>
      </c>
      <c r="B77" s="9" t="n">
        <v>2007</v>
      </c>
      <c r="C77" s="12" t="n">
        <v>13311.56</v>
      </c>
      <c r="D77" s="6"/>
      <c r="E77" s="9" t="s">
        <v>33</v>
      </c>
    </row>
    <row r="78" customFormat="false" ht="15" hidden="false" customHeight="false" outlineLevel="0" collapsed="false">
      <c r="A78" s="11" t="s">
        <v>20</v>
      </c>
      <c r="B78" s="9" t="n">
        <v>2008</v>
      </c>
      <c r="C78" s="12" t="n">
        <v>13311.56</v>
      </c>
      <c r="D78" s="6"/>
      <c r="E78" s="9" t="s">
        <v>33</v>
      </c>
    </row>
    <row r="79" customFormat="false" ht="15" hidden="false" customHeight="false" outlineLevel="0" collapsed="false">
      <c r="A79" s="11" t="s">
        <v>20</v>
      </c>
      <c r="B79" s="9" t="n">
        <v>2009</v>
      </c>
      <c r="C79" s="12" t="n">
        <v>9910.34</v>
      </c>
      <c r="D79" s="6"/>
      <c r="E79" s="9" t="s">
        <v>33</v>
      </c>
    </row>
    <row r="80" customFormat="false" ht="15" hidden="false" customHeight="false" outlineLevel="0" collapsed="false">
      <c r="A80" s="11" t="s">
        <v>20</v>
      </c>
      <c r="B80" s="9" t="n">
        <v>2010</v>
      </c>
      <c r="C80" s="12" t="n">
        <v>9910.34</v>
      </c>
      <c r="D80" s="6"/>
      <c r="E80" s="9" t="s">
        <v>33</v>
      </c>
    </row>
    <row r="81" customFormat="false" ht="15" hidden="false" customHeight="false" outlineLevel="0" collapsed="false">
      <c r="A81" s="11" t="s">
        <v>20</v>
      </c>
      <c r="B81" s="9" t="n">
        <v>2011</v>
      </c>
      <c r="C81" s="12" t="n">
        <v>8976.17</v>
      </c>
      <c r="D81" s="6"/>
      <c r="E81" s="9" t="s">
        <v>33</v>
      </c>
    </row>
    <row r="82" customFormat="false" ht="15" hidden="false" customHeight="false" outlineLevel="0" collapsed="false">
      <c r="A82" s="11" t="s">
        <v>20</v>
      </c>
      <c r="B82" s="9" t="n">
        <v>2012</v>
      </c>
      <c r="C82" s="12" t="n">
        <v>8976.17</v>
      </c>
      <c r="D82" s="6"/>
      <c r="E82" s="9" t="s">
        <v>33</v>
      </c>
    </row>
    <row r="83" customFormat="false" ht="15" hidden="false" customHeight="false" outlineLevel="0" collapsed="false">
      <c r="A83" s="11" t="s">
        <v>20</v>
      </c>
      <c r="B83" s="9" t="n">
        <v>2013</v>
      </c>
      <c r="C83" s="12" t="n">
        <v>13481.6</v>
      </c>
      <c r="D83" s="6"/>
      <c r="E83" s="9" t="s">
        <v>32</v>
      </c>
    </row>
    <row r="84" customFormat="false" ht="15" hidden="false" customHeight="false" outlineLevel="0" collapsed="false">
      <c r="A84" s="11" t="s">
        <v>20</v>
      </c>
      <c r="B84" s="9" t="n">
        <v>2014</v>
      </c>
      <c r="C84" s="12" t="n">
        <v>10904.42</v>
      </c>
      <c r="D84" s="13" t="n">
        <v>-0.1912</v>
      </c>
      <c r="E84" s="9" t="s">
        <v>32</v>
      </c>
    </row>
    <row r="85" customFormat="false" ht="15" hidden="false" customHeight="false" outlineLevel="0" collapsed="false">
      <c r="A85" s="11" t="s">
        <v>20</v>
      </c>
      <c r="B85" s="9" t="n">
        <v>2015</v>
      </c>
      <c r="C85" s="12" t="n">
        <v>11131.65</v>
      </c>
      <c r="D85" s="13" t="n">
        <v>0.0208</v>
      </c>
      <c r="E85" s="9" t="s">
        <v>32</v>
      </c>
    </row>
    <row r="86" customFormat="false" ht="15" hidden="false" customHeight="false" outlineLevel="0" collapsed="false">
      <c r="A86" s="11" t="s">
        <v>20</v>
      </c>
      <c r="B86" s="9" t="n">
        <v>2016</v>
      </c>
      <c r="C86" s="12" t="n">
        <v>7497.12</v>
      </c>
      <c r="D86" s="13" t="n">
        <v>-0.3265</v>
      </c>
      <c r="E86" s="9" t="s">
        <v>32</v>
      </c>
    </row>
    <row r="87" customFormat="false" ht="15" hidden="false" customHeight="false" outlineLevel="0" collapsed="false">
      <c r="A87" s="11" t="s">
        <v>20</v>
      </c>
      <c r="B87" s="9" t="n">
        <v>2017</v>
      </c>
      <c r="C87" s="12" t="n">
        <v>7117.38</v>
      </c>
      <c r="D87" s="13" t="n">
        <v>-0.0507</v>
      </c>
      <c r="E87" s="9" t="s">
        <v>32</v>
      </c>
    </row>
    <row r="88" customFormat="false" ht="15" hidden="false" customHeight="false" outlineLevel="0" collapsed="false">
      <c r="A88" s="11" t="s">
        <v>20</v>
      </c>
      <c r="B88" s="9" t="n">
        <v>2018</v>
      </c>
      <c r="C88" s="12" t="n">
        <v>7259.82</v>
      </c>
      <c r="D88" s="13" t="n">
        <v>0.02</v>
      </c>
      <c r="E88" s="9" t="s">
        <v>32</v>
      </c>
    </row>
    <row r="89" customFormat="false" ht="15" hidden="false" customHeight="false" outlineLevel="0" collapsed="false">
      <c r="A89" s="11" t="s">
        <v>20</v>
      </c>
      <c r="B89" s="9" t="n">
        <v>2019</v>
      </c>
      <c r="C89" s="12" t="n">
        <v>6319.02</v>
      </c>
      <c r="D89" s="13" t="n">
        <v>-0.1296</v>
      </c>
      <c r="E89" s="9" t="s">
        <v>32</v>
      </c>
    </row>
    <row r="90" customFormat="false" ht="15" hidden="false" customHeight="false" outlineLevel="0" collapsed="false">
      <c r="A90" s="11" t="s">
        <v>20</v>
      </c>
      <c r="B90" s="9" t="n">
        <v>2020</v>
      </c>
      <c r="C90" s="12" t="n">
        <v>7902.65</v>
      </c>
      <c r="D90" s="13" t="n">
        <v>0.2506</v>
      </c>
      <c r="E90" s="9" t="s">
        <v>32</v>
      </c>
    </row>
    <row r="91" customFormat="false" ht="15" hidden="false" customHeight="false" outlineLevel="0" collapsed="false">
      <c r="A91" s="11" t="s">
        <v>20</v>
      </c>
      <c r="B91" s="9" t="n">
        <v>2021</v>
      </c>
      <c r="C91" s="12" t="n">
        <v>8531.44</v>
      </c>
      <c r="D91" s="13" t="n">
        <v>0.0796</v>
      </c>
      <c r="E91" s="9" t="s">
        <v>32</v>
      </c>
    </row>
    <row r="92" customFormat="false" ht="15" hidden="false" customHeight="false" outlineLevel="0" collapsed="false">
      <c r="A92" s="11" t="s">
        <v>20</v>
      </c>
      <c r="B92" s="9" t="n">
        <v>2022</v>
      </c>
      <c r="C92" s="12" t="n">
        <v>10688.61</v>
      </c>
      <c r="D92" s="13" t="n">
        <v>0.2528</v>
      </c>
      <c r="E92" s="9" t="s">
        <v>32</v>
      </c>
    </row>
    <row r="93" customFormat="false" ht="15" hidden="false" customHeight="false" outlineLevel="0" collapsed="false">
      <c r="A93" s="11" t="s">
        <v>20</v>
      </c>
      <c r="B93" s="9" t="n">
        <v>2023</v>
      </c>
      <c r="C93" s="12" t="n">
        <v>11011.69</v>
      </c>
      <c r="D93" s="13" t="n">
        <v>0.0302</v>
      </c>
      <c r="E93" s="9" t="s">
        <v>32</v>
      </c>
    </row>
    <row r="94" customFormat="false" ht="15" hidden="false" customHeight="false" outlineLevel="0" collapsed="false">
      <c r="A94" s="11" t="s">
        <v>20</v>
      </c>
      <c r="B94" s="9" t="n">
        <v>2024</v>
      </c>
      <c r="C94" s="12" t="n">
        <v>8174.17</v>
      </c>
      <c r="D94" s="13" t="n">
        <v>-0.2577</v>
      </c>
      <c r="E94" s="9" t="s">
        <v>32</v>
      </c>
    </row>
    <row r="95" customFormat="false" ht="15" hidden="false" customHeight="false" outlineLevel="0" collapsed="false">
      <c r="A95" s="11" t="s">
        <v>20</v>
      </c>
      <c r="B95" s="9" t="n">
        <v>2025</v>
      </c>
      <c r="C95" s="12" t="n">
        <v>7235.27</v>
      </c>
      <c r="D95" s="13" t="n">
        <v>-0.1149</v>
      </c>
      <c r="E95" s="9" t="s">
        <v>32</v>
      </c>
    </row>
    <row r="96" customFormat="false" ht="15" hidden="false" customHeight="false" outlineLevel="0" collapsed="false">
      <c r="A96" s="11" t="s">
        <v>20</v>
      </c>
      <c r="B96" s="9" t="n">
        <v>2026</v>
      </c>
      <c r="C96" s="12" t="n">
        <v>5516.69</v>
      </c>
      <c r="D96" s="13" t="n">
        <v>-0.2375</v>
      </c>
      <c r="E96" s="9" t="s">
        <v>32</v>
      </c>
    </row>
    <row r="97" customFormat="false" ht="15" hidden="false" customHeight="false" outlineLevel="0" collapsed="false">
      <c r="A97" s="11" t="s">
        <v>22</v>
      </c>
      <c r="B97" s="9" t="n">
        <v>2001</v>
      </c>
      <c r="C97" s="12" t="n">
        <v>5625.91</v>
      </c>
      <c r="D97" s="6"/>
      <c r="E97" s="9" t="s">
        <v>33</v>
      </c>
    </row>
    <row r="98" customFormat="false" ht="15" hidden="false" customHeight="false" outlineLevel="0" collapsed="false">
      <c r="A98" s="11" t="s">
        <v>22</v>
      </c>
      <c r="B98" s="9" t="n">
        <v>2002</v>
      </c>
      <c r="C98" s="12" t="n">
        <v>5625.91</v>
      </c>
      <c r="D98" s="6"/>
      <c r="E98" s="9" t="s">
        <v>33</v>
      </c>
    </row>
    <row r="99" customFormat="false" ht="15" hidden="false" customHeight="false" outlineLevel="0" collapsed="false">
      <c r="A99" s="11" t="s">
        <v>22</v>
      </c>
      <c r="B99" s="9" t="n">
        <v>2003</v>
      </c>
      <c r="C99" s="12" t="n">
        <v>5625.91</v>
      </c>
      <c r="D99" s="6"/>
      <c r="E99" s="9" t="s">
        <v>33</v>
      </c>
    </row>
    <row r="100" customFormat="false" ht="15" hidden="false" customHeight="false" outlineLevel="0" collapsed="false">
      <c r="A100" s="11" t="s">
        <v>22</v>
      </c>
      <c r="B100" s="9" t="n">
        <v>2004</v>
      </c>
      <c r="C100" s="12" t="n">
        <v>5625.91</v>
      </c>
      <c r="D100" s="6"/>
      <c r="E100" s="9" t="s">
        <v>33</v>
      </c>
    </row>
    <row r="101" customFormat="false" ht="15" hidden="false" customHeight="false" outlineLevel="0" collapsed="false">
      <c r="A101" s="11" t="s">
        <v>22</v>
      </c>
      <c r="B101" s="9" t="n">
        <v>2005</v>
      </c>
      <c r="C101" s="12" t="n">
        <v>6384.15</v>
      </c>
      <c r="D101" s="6"/>
      <c r="E101" s="9" t="s">
        <v>33</v>
      </c>
    </row>
    <row r="102" customFormat="false" ht="15" hidden="false" customHeight="false" outlineLevel="0" collapsed="false">
      <c r="A102" s="11" t="s">
        <v>22</v>
      </c>
      <c r="B102" s="9" t="n">
        <v>2006</v>
      </c>
      <c r="C102" s="12" t="n">
        <v>6384.15</v>
      </c>
      <c r="D102" s="6"/>
      <c r="E102" s="9" t="s">
        <v>33</v>
      </c>
    </row>
    <row r="103" customFormat="false" ht="15" hidden="false" customHeight="false" outlineLevel="0" collapsed="false">
      <c r="A103" s="11" t="s">
        <v>22</v>
      </c>
      <c r="B103" s="9" t="n">
        <v>2007</v>
      </c>
      <c r="C103" s="12" t="n">
        <v>4004.42</v>
      </c>
      <c r="D103" s="6"/>
      <c r="E103" s="9" t="s">
        <v>33</v>
      </c>
    </row>
    <row r="104" customFormat="false" ht="15" hidden="false" customHeight="false" outlineLevel="0" collapsed="false">
      <c r="A104" s="11" t="s">
        <v>22</v>
      </c>
      <c r="B104" s="9" t="n">
        <v>2008</v>
      </c>
      <c r="C104" s="12" t="n">
        <v>4004.42</v>
      </c>
      <c r="D104" s="6"/>
      <c r="E104" s="9" t="s">
        <v>33</v>
      </c>
    </row>
    <row r="105" customFormat="false" ht="15" hidden="false" customHeight="false" outlineLevel="0" collapsed="false">
      <c r="A105" s="11" t="s">
        <v>22</v>
      </c>
      <c r="B105" s="9" t="n">
        <v>2009</v>
      </c>
      <c r="C105" s="12" t="n">
        <v>2020.43</v>
      </c>
      <c r="D105" s="6"/>
      <c r="E105" s="9" t="s">
        <v>33</v>
      </c>
    </row>
    <row r="106" customFormat="false" ht="15" hidden="false" customHeight="false" outlineLevel="0" collapsed="false">
      <c r="A106" s="11" t="s">
        <v>22</v>
      </c>
      <c r="B106" s="9" t="n">
        <v>2010</v>
      </c>
      <c r="C106" s="12" t="n">
        <v>2020.43</v>
      </c>
      <c r="D106" s="6"/>
      <c r="E106" s="9" t="s">
        <v>33</v>
      </c>
    </row>
    <row r="107" customFormat="false" ht="15" hidden="false" customHeight="false" outlineLevel="0" collapsed="false">
      <c r="A107" s="11" t="s">
        <v>22</v>
      </c>
      <c r="B107" s="9" t="n">
        <v>2011</v>
      </c>
      <c r="C107" s="12" t="n">
        <v>1879.88</v>
      </c>
      <c r="D107" s="6"/>
      <c r="E107" s="9" t="s">
        <v>32</v>
      </c>
    </row>
    <row r="108" customFormat="false" ht="15" hidden="false" customHeight="false" outlineLevel="0" collapsed="false">
      <c r="A108" s="11" t="s">
        <v>22</v>
      </c>
      <c r="B108" s="9" t="n">
        <v>2012</v>
      </c>
      <c r="C108" s="12" t="n">
        <v>1427.8</v>
      </c>
      <c r="D108" s="6"/>
      <c r="E108" s="9" t="s">
        <v>33</v>
      </c>
    </row>
    <row r="109" customFormat="false" ht="15" hidden="false" customHeight="false" outlineLevel="0" collapsed="false">
      <c r="A109" s="11" t="s">
        <v>22</v>
      </c>
      <c r="B109" s="9" t="n">
        <v>2013</v>
      </c>
      <c r="C109" s="12" t="n">
        <v>1427.8</v>
      </c>
      <c r="D109" s="6"/>
      <c r="E109" s="9" t="s">
        <v>33</v>
      </c>
    </row>
    <row r="110" customFormat="false" ht="15" hidden="false" customHeight="false" outlineLevel="0" collapsed="false">
      <c r="A110" s="11" t="s">
        <v>22</v>
      </c>
      <c r="B110" s="9" t="n">
        <v>2014</v>
      </c>
      <c r="C110" s="12" t="n">
        <v>1887.33</v>
      </c>
      <c r="D110" s="6"/>
      <c r="E110" s="9" t="s">
        <v>32</v>
      </c>
    </row>
    <row r="111" customFormat="false" ht="15" hidden="false" customHeight="false" outlineLevel="0" collapsed="false">
      <c r="A111" s="11" t="s">
        <v>22</v>
      </c>
      <c r="B111" s="9" t="n">
        <v>2015</v>
      </c>
      <c r="C111" s="12" t="n">
        <v>1206.65</v>
      </c>
      <c r="D111" s="6"/>
      <c r="E111" s="9" t="s">
        <v>33</v>
      </c>
    </row>
    <row r="112" customFormat="false" ht="15" hidden="false" customHeight="false" outlineLevel="0" collapsed="false">
      <c r="A112" s="11" t="s">
        <v>22</v>
      </c>
      <c r="B112" s="9" t="n">
        <v>2016</v>
      </c>
      <c r="C112" s="12" t="n">
        <v>1206.65</v>
      </c>
      <c r="D112" s="6"/>
      <c r="E112" s="9" t="s">
        <v>33</v>
      </c>
    </row>
    <row r="113" customFormat="false" ht="15" hidden="false" customHeight="false" outlineLevel="0" collapsed="false">
      <c r="A113" s="11" t="s">
        <v>22</v>
      </c>
      <c r="B113" s="9" t="n">
        <v>2017</v>
      </c>
      <c r="C113" s="12" t="n">
        <v>1166.12</v>
      </c>
      <c r="D113" s="6"/>
      <c r="E113" s="9" t="s">
        <v>32</v>
      </c>
    </row>
    <row r="114" customFormat="false" ht="15" hidden="false" customHeight="false" outlineLevel="0" collapsed="false">
      <c r="A114" s="11" t="s">
        <v>22</v>
      </c>
      <c r="B114" s="9" t="n">
        <v>2018</v>
      </c>
      <c r="C114" s="12" t="n">
        <v>1344.35</v>
      </c>
      <c r="D114" s="13" t="n">
        <v>0.1528</v>
      </c>
      <c r="E114" s="9" t="s">
        <v>32</v>
      </c>
    </row>
    <row r="115" customFormat="false" ht="15" hidden="false" customHeight="false" outlineLevel="0" collapsed="false">
      <c r="A115" s="11" t="s">
        <v>22</v>
      </c>
      <c r="B115" s="9" t="n">
        <v>2019</v>
      </c>
      <c r="C115" s="12" t="n">
        <v>1067.37</v>
      </c>
      <c r="D115" s="13" t="n">
        <v>-0.206</v>
      </c>
      <c r="E115" s="9" t="s">
        <v>32</v>
      </c>
    </row>
    <row r="116" customFormat="false" ht="15" hidden="false" customHeight="false" outlineLevel="0" collapsed="false">
      <c r="A116" s="11" t="s">
        <v>22</v>
      </c>
      <c r="B116" s="9" t="n">
        <v>2020</v>
      </c>
      <c r="C116" s="12" t="n">
        <v>790.61</v>
      </c>
      <c r="D116" s="13" t="n">
        <v>-0.2593</v>
      </c>
      <c r="E116" s="9" t="s">
        <v>32</v>
      </c>
    </row>
    <row r="117" customFormat="false" ht="15" hidden="false" customHeight="false" outlineLevel="0" collapsed="false">
      <c r="A117" s="11" t="s">
        <v>22</v>
      </c>
      <c r="B117" s="9" t="n">
        <v>2021</v>
      </c>
      <c r="C117" s="12" t="n">
        <v>926.98</v>
      </c>
      <c r="D117" s="13" t="n">
        <v>0.1725</v>
      </c>
      <c r="E117" s="9" t="s">
        <v>32</v>
      </c>
    </row>
    <row r="118" customFormat="false" ht="15" hidden="false" customHeight="false" outlineLevel="0" collapsed="false">
      <c r="A118" s="11" t="s">
        <v>22</v>
      </c>
      <c r="B118" s="9" t="n">
        <v>2022</v>
      </c>
      <c r="C118" s="12" t="n">
        <v>1032.66</v>
      </c>
      <c r="D118" s="13" t="n">
        <v>0.114</v>
      </c>
      <c r="E118" s="9" t="s">
        <v>32</v>
      </c>
    </row>
    <row r="119" customFormat="false" ht="15" hidden="false" customHeight="false" outlineLevel="0" collapsed="false">
      <c r="A119" s="11" t="s">
        <v>22</v>
      </c>
      <c r="B119" s="9" t="n">
        <v>2023</v>
      </c>
      <c r="C119" s="12" t="n">
        <v>765.17</v>
      </c>
      <c r="D119" s="13" t="n">
        <v>-0.259</v>
      </c>
      <c r="E119" s="9" t="s">
        <v>32</v>
      </c>
    </row>
    <row r="120" customFormat="false" ht="15" hidden="false" customHeight="false" outlineLevel="0" collapsed="false">
      <c r="A120" s="11" t="s">
        <v>22</v>
      </c>
      <c r="B120" s="9" t="n">
        <v>2024</v>
      </c>
      <c r="C120" s="12" t="n">
        <v>475.18</v>
      </c>
      <c r="D120" s="13" t="n">
        <v>-0.379</v>
      </c>
      <c r="E120" s="9" t="s">
        <v>32</v>
      </c>
    </row>
    <row r="121" customFormat="false" ht="15" hidden="false" customHeight="false" outlineLevel="0" collapsed="false">
      <c r="A121" s="11" t="s">
        <v>22</v>
      </c>
      <c r="B121" s="9" t="n">
        <v>2025</v>
      </c>
      <c r="C121" s="12" t="n">
        <v>402.36</v>
      </c>
      <c r="D121" s="13" t="n">
        <v>-0.1532</v>
      </c>
      <c r="E121" s="9" t="s">
        <v>32</v>
      </c>
    </row>
    <row r="122" customFormat="false" ht="15" hidden="false" customHeight="false" outlineLevel="0" collapsed="false">
      <c r="A122" s="11" t="s">
        <v>23</v>
      </c>
      <c r="B122" s="9" t="n">
        <v>2001</v>
      </c>
      <c r="C122" s="12" t="n">
        <v>2866</v>
      </c>
      <c r="D122" s="6"/>
      <c r="E122" s="9" t="s">
        <v>33</v>
      </c>
    </row>
    <row r="123" customFormat="false" ht="15" hidden="false" customHeight="false" outlineLevel="0" collapsed="false">
      <c r="A123" s="11" t="s">
        <v>23</v>
      </c>
      <c r="B123" s="9" t="n">
        <v>2002</v>
      </c>
      <c r="C123" s="12" t="n">
        <v>2866</v>
      </c>
      <c r="D123" s="6"/>
      <c r="E123" s="9" t="s">
        <v>33</v>
      </c>
    </row>
    <row r="124" customFormat="false" ht="15" hidden="false" customHeight="false" outlineLevel="0" collapsed="false">
      <c r="A124" s="11" t="s">
        <v>23</v>
      </c>
      <c r="B124" s="9" t="n">
        <v>2003</v>
      </c>
      <c r="C124" s="12" t="n">
        <v>2866</v>
      </c>
      <c r="D124" s="6"/>
      <c r="E124" s="9" t="s">
        <v>33</v>
      </c>
    </row>
    <row r="125" customFormat="false" ht="15" hidden="false" customHeight="false" outlineLevel="0" collapsed="false">
      <c r="A125" s="11" t="s">
        <v>23</v>
      </c>
      <c r="B125" s="9" t="n">
        <v>2004</v>
      </c>
      <c r="C125" s="12" t="n">
        <v>2866</v>
      </c>
      <c r="D125" s="6"/>
      <c r="E125" s="9" t="s">
        <v>33</v>
      </c>
    </row>
    <row r="126" customFormat="false" ht="15" hidden="false" customHeight="false" outlineLevel="0" collapsed="false">
      <c r="A126" s="11" t="s">
        <v>23</v>
      </c>
      <c r="B126" s="9" t="n">
        <v>2005</v>
      </c>
      <c r="C126" s="12" t="n">
        <v>2004.36</v>
      </c>
      <c r="D126" s="6"/>
      <c r="E126" s="9" t="s">
        <v>33</v>
      </c>
    </row>
    <row r="127" customFormat="false" ht="15" hidden="false" customHeight="false" outlineLevel="0" collapsed="false">
      <c r="A127" s="11" t="s">
        <v>23</v>
      </c>
      <c r="B127" s="9" t="n">
        <v>2006</v>
      </c>
      <c r="C127" s="12" t="n">
        <v>2004.36</v>
      </c>
      <c r="D127" s="6"/>
      <c r="E127" s="9" t="s">
        <v>33</v>
      </c>
    </row>
    <row r="128" customFormat="false" ht="15" hidden="false" customHeight="false" outlineLevel="0" collapsed="false">
      <c r="A128" s="11" t="s">
        <v>23</v>
      </c>
      <c r="B128" s="9" t="n">
        <v>2007</v>
      </c>
      <c r="C128" s="12" t="n">
        <v>1449.72</v>
      </c>
      <c r="D128" s="6"/>
      <c r="E128" s="9" t="s">
        <v>33</v>
      </c>
    </row>
    <row r="129" customFormat="false" ht="15" hidden="false" customHeight="false" outlineLevel="0" collapsed="false">
      <c r="A129" s="11" t="s">
        <v>23</v>
      </c>
      <c r="B129" s="9" t="n">
        <v>2008</v>
      </c>
      <c r="C129" s="12" t="n">
        <v>1449.72</v>
      </c>
      <c r="D129" s="6"/>
      <c r="E129" s="9" t="s">
        <v>33</v>
      </c>
    </row>
    <row r="130" customFormat="false" ht="15" hidden="false" customHeight="false" outlineLevel="0" collapsed="false">
      <c r="A130" s="11" t="s">
        <v>23</v>
      </c>
      <c r="B130" s="9" t="n">
        <v>2009</v>
      </c>
      <c r="C130" s="12" t="n">
        <v>1027.92</v>
      </c>
      <c r="D130" s="6"/>
      <c r="E130" s="9" t="s">
        <v>33</v>
      </c>
    </row>
    <row r="131" customFormat="false" ht="15" hidden="false" customHeight="false" outlineLevel="0" collapsed="false">
      <c r="A131" s="11" t="s">
        <v>23</v>
      </c>
      <c r="B131" s="9" t="n">
        <v>2010</v>
      </c>
      <c r="C131" s="12" t="n">
        <v>1027.92</v>
      </c>
      <c r="D131" s="6"/>
      <c r="E131" s="9" t="s">
        <v>33</v>
      </c>
    </row>
    <row r="132" customFormat="false" ht="15" hidden="false" customHeight="false" outlineLevel="0" collapsed="false">
      <c r="A132" s="11" t="s">
        <v>23</v>
      </c>
      <c r="B132" s="9" t="n">
        <v>2011</v>
      </c>
      <c r="C132" s="12" t="n">
        <v>1699.81</v>
      </c>
      <c r="D132" s="6"/>
      <c r="E132" s="9" t="s">
        <v>32</v>
      </c>
    </row>
    <row r="133" customFormat="false" ht="15" hidden="false" customHeight="false" outlineLevel="0" collapsed="false">
      <c r="A133" s="11" t="s">
        <v>23</v>
      </c>
      <c r="B133" s="9" t="n">
        <v>2012</v>
      </c>
      <c r="C133" s="12" t="n">
        <v>1125.97</v>
      </c>
      <c r="D133" s="6"/>
      <c r="E133" s="9" t="s">
        <v>33</v>
      </c>
    </row>
    <row r="134" customFormat="false" ht="15" hidden="false" customHeight="false" outlineLevel="0" collapsed="false">
      <c r="A134" s="11" t="s">
        <v>23</v>
      </c>
      <c r="B134" s="9" t="n">
        <v>2013</v>
      </c>
      <c r="C134" s="12" t="n">
        <v>1125.97</v>
      </c>
      <c r="D134" s="6"/>
      <c r="E134" s="9" t="s">
        <v>33</v>
      </c>
    </row>
    <row r="135" customFormat="false" ht="15" hidden="false" customHeight="false" outlineLevel="0" collapsed="false">
      <c r="A135" s="11" t="s">
        <v>23</v>
      </c>
      <c r="B135" s="9" t="n">
        <v>2014</v>
      </c>
      <c r="C135" s="12" t="n">
        <v>2118.72</v>
      </c>
      <c r="D135" s="6"/>
      <c r="E135" s="9" t="s">
        <v>32</v>
      </c>
    </row>
    <row r="136" customFormat="false" ht="15" hidden="false" customHeight="false" outlineLevel="0" collapsed="false">
      <c r="A136" s="11" t="s">
        <v>23</v>
      </c>
      <c r="B136" s="9" t="n">
        <v>2015</v>
      </c>
      <c r="C136" s="12" t="n">
        <v>924.38</v>
      </c>
      <c r="D136" s="6"/>
      <c r="E136" s="9" t="s">
        <v>33</v>
      </c>
    </row>
    <row r="137" customFormat="false" ht="15" hidden="false" customHeight="false" outlineLevel="0" collapsed="false">
      <c r="A137" s="11" t="s">
        <v>23</v>
      </c>
      <c r="B137" s="9" t="n">
        <v>2016</v>
      </c>
      <c r="C137" s="12" t="n">
        <v>924.38</v>
      </c>
      <c r="D137" s="6"/>
      <c r="E137" s="9" t="s">
        <v>33</v>
      </c>
    </row>
    <row r="138" customFormat="false" ht="15" hidden="false" customHeight="false" outlineLevel="0" collapsed="false">
      <c r="A138" s="11" t="s">
        <v>23</v>
      </c>
      <c r="B138" s="9" t="n">
        <v>2017</v>
      </c>
      <c r="C138" s="12" t="n">
        <v>925.88</v>
      </c>
      <c r="D138" s="6"/>
      <c r="E138" s="9" t="s">
        <v>32</v>
      </c>
    </row>
    <row r="139" customFormat="false" ht="15" hidden="false" customHeight="false" outlineLevel="0" collapsed="false">
      <c r="A139" s="11" t="s">
        <v>23</v>
      </c>
      <c r="B139" s="9" t="n">
        <v>2018</v>
      </c>
      <c r="C139" s="12" t="n">
        <v>917.77</v>
      </c>
      <c r="D139" s="13" t="n">
        <v>-0.0088</v>
      </c>
      <c r="E139" s="9" t="s">
        <v>32</v>
      </c>
    </row>
    <row r="140" customFormat="false" ht="15" hidden="false" customHeight="false" outlineLevel="0" collapsed="false">
      <c r="A140" s="11" t="s">
        <v>23</v>
      </c>
      <c r="B140" s="9" t="n">
        <v>2019</v>
      </c>
      <c r="C140" s="12" t="n">
        <v>1027.4</v>
      </c>
      <c r="D140" s="13" t="n">
        <v>0.1195</v>
      </c>
      <c r="E140" s="9" t="s">
        <v>32</v>
      </c>
    </row>
    <row r="141" customFormat="false" ht="15" hidden="false" customHeight="false" outlineLevel="0" collapsed="false">
      <c r="A141" s="11" t="s">
        <v>23</v>
      </c>
      <c r="B141" s="9" t="n">
        <v>2020</v>
      </c>
      <c r="C141" s="12" t="n">
        <v>888.62</v>
      </c>
      <c r="D141" s="13" t="n">
        <v>-0.1351</v>
      </c>
      <c r="E141" s="9" t="s">
        <v>32</v>
      </c>
    </row>
    <row r="142" customFormat="false" ht="15" hidden="false" customHeight="false" outlineLevel="0" collapsed="false">
      <c r="A142" s="11" t="s">
        <v>23</v>
      </c>
      <c r="B142" s="9" t="n">
        <v>2021</v>
      </c>
      <c r="C142" s="12" t="n">
        <v>1526.57</v>
      </c>
      <c r="D142" s="13" t="n">
        <v>0.7179</v>
      </c>
      <c r="E142" s="9" t="s">
        <v>32</v>
      </c>
    </row>
    <row r="143" customFormat="false" ht="15" hidden="false" customHeight="false" outlineLevel="0" collapsed="false">
      <c r="A143" s="11" t="s">
        <v>23</v>
      </c>
      <c r="B143" s="9" t="n">
        <v>2022</v>
      </c>
      <c r="C143" s="12" t="n">
        <v>755.25</v>
      </c>
      <c r="D143" s="13" t="n">
        <v>-0.5053</v>
      </c>
      <c r="E143" s="9" t="s">
        <v>32</v>
      </c>
    </row>
    <row r="144" customFormat="false" ht="15" hidden="false" customHeight="false" outlineLevel="0" collapsed="false">
      <c r="A144" s="11" t="s">
        <v>23</v>
      </c>
      <c r="B144" s="9" t="n">
        <v>2023</v>
      </c>
      <c r="C144" s="12" t="n">
        <v>654.58</v>
      </c>
      <c r="D144" s="13" t="n">
        <v>-0.1333</v>
      </c>
      <c r="E144" s="9" t="s">
        <v>32</v>
      </c>
    </row>
    <row r="145" customFormat="false" ht="15" hidden="false" customHeight="false" outlineLevel="0" collapsed="false">
      <c r="A145" s="11" t="s">
        <v>23</v>
      </c>
      <c r="B145" s="9" t="n">
        <v>2024</v>
      </c>
      <c r="C145" s="12" t="n">
        <v>524.19</v>
      </c>
      <c r="D145" s="13" t="n">
        <v>-0.1992</v>
      </c>
      <c r="E145" s="9" t="s">
        <v>32</v>
      </c>
    </row>
    <row r="146" customFormat="false" ht="15" hidden="false" customHeight="false" outlineLevel="0" collapsed="false">
      <c r="A146" s="11" t="s">
        <v>23</v>
      </c>
      <c r="B146" s="9" t="n">
        <v>2025</v>
      </c>
      <c r="C146" s="12" t="n">
        <v>305.48</v>
      </c>
      <c r="D146" s="13" t="n">
        <v>-0.4172</v>
      </c>
      <c r="E146" s="9" t="s">
        <v>32</v>
      </c>
    </row>
    <row r="147" customFormat="false" ht="15" hidden="false" customHeight="false" outlineLevel="0" collapsed="false">
      <c r="A147" s="11" t="s">
        <v>24</v>
      </c>
      <c r="B147" s="9" t="n">
        <v>2001</v>
      </c>
      <c r="C147" s="12" t="n">
        <v>1000.06</v>
      </c>
      <c r="D147" s="6"/>
      <c r="E147" s="9" t="s">
        <v>33</v>
      </c>
    </row>
    <row r="148" customFormat="false" ht="15" hidden="false" customHeight="false" outlineLevel="0" collapsed="false">
      <c r="A148" s="11" t="s">
        <v>24</v>
      </c>
      <c r="B148" s="9" t="n">
        <v>2002</v>
      </c>
      <c r="C148" s="12" t="n">
        <v>1000.06</v>
      </c>
      <c r="D148" s="6"/>
      <c r="E148" s="9" t="s">
        <v>33</v>
      </c>
    </row>
    <row r="149" customFormat="false" ht="15" hidden="false" customHeight="false" outlineLevel="0" collapsed="false">
      <c r="A149" s="11" t="s">
        <v>24</v>
      </c>
      <c r="B149" s="9" t="n">
        <v>2003</v>
      </c>
      <c r="C149" s="12" t="n">
        <v>1000.06</v>
      </c>
      <c r="D149" s="6"/>
      <c r="E149" s="9" t="s">
        <v>33</v>
      </c>
    </row>
    <row r="150" customFormat="false" ht="15" hidden="false" customHeight="false" outlineLevel="0" collapsed="false">
      <c r="A150" s="11" t="s">
        <v>24</v>
      </c>
      <c r="B150" s="9" t="n">
        <v>2004</v>
      </c>
      <c r="C150" s="12" t="n">
        <v>1000.06</v>
      </c>
      <c r="D150" s="6"/>
      <c r="E150" s="9" t="s">
        <v>33</v>
      </c>
    </row>
    <row r="151" customFormat="false" ht="15" hidden="false" customHeight="false" outlineLevel="0" collapsed="false">
      <c r="A151" s="11" t="s">
        <v>24</v>
      </c>
      <c r="B151" s="9" t="n">
        <v>2005</v>
      </c>
      <c r="C151" s="12" t="n">
        <v>845.96</v>
      </c>
      <c r="D151" s="6"/>
      <c r="E151" s="9" t="s">
        <v>33</v>
      </c>
    </row>
    <row r="152" customFormat="false" ht="15" hidden="false" customHeight="false" outlineLevel="0" collapsed="false">
      <c r="A152" s="11" t="s">
        <v>24</v>
      </c>
      <c r="B152" s="9" t="n">
        <v>2006</v>
      </c>
      <c r="C152" s="12" t="n">
        <v>845.96</v>
      </c>
      <c r="D152" s="6"/>
      <c r="E152" s="9" t="s">
        <v>33</v>
      </c>
    </row>
    <row r="153" customFormat="false" ht="15" hidden="false" customHeight="false" outlineLevel="0" collapsed="false">
      <c r="A153" s="11" t="s">
        <v>24</v>
      </c>
      <c r="B153" s="9" t="n">
        <v>2007</v>
      </c>
      <c r="C153" s="12" t="n">
        <v>518.45</v>
      </c>
      <c r="D153" s="6"/>
      <c r="E153" s="9" t="s">
        <v>33</v>
      </c>
    </row>
    <row r="154" customFormat="false" ht="15" hidden="false" customHeight="false" outlineLevel="0" collapsed="false">
      <c r="A154" s="11" t="s">
        <v>24</v>
      </c>
      <c r="B154" s="9" t="n">
        <v>2008</v>
      </c>
      <c r="C154" s="12" t="n">
        <v>518.45</v>
      </c>
      <c r="D154" s="6"/>
      <c r="E154" s="9" t="s">
        <v>33</v>
      </c>
    </row>
    <row r="155" customFormat="false" ht="15" hidden="false" customHeight="false" outlineLevel="0" collapsed="false">
      <c r="A155" s="11" t="s">
        <v>24</v>
      </c>
      <c r="B155" s="9" t="n">
        <v>2009</v>
      </c>
      <c r="C155" s="12" t="n">
        <v>664.89</v>
      </c>
      <c r="D155" s="6"/>
      <c r="E155" s="9" t="s">
        <v>33</v>
      </c>
    </row>
    <row r="156" customFormat="false" ht="15" hidden="false" customHeight="false" outlineLevel="0" collapsed="false">
      <c r="A156" s="11" t="s">
        <v>24</v>
      </c>
      <c r="B156" s="9" t="n">
        <v>2010</v>
      </c>
      <c r="C156" s="12" t="n">
        <v>664.89</v>
      </c>
      <c r="D156" s="6"/>
      <c r="E156" s="9" t="s">
        <v>33</v>
      </c>
    </row>
    <row r="157" customFormat="false" ht="15" hidden="false" customHeight="false" outlineLevel="0" collapsed="false">
      <c r="A157" s="11" t="s">
        <v>24</v>
      </c>
      <c r="B157" s="9" t="n">
        <v>2011</v>
      </c>
      <c r="C157" s="12" t="n">
        <v>510.39</v>
      </c>
      <c r="D157" s="6"/>
      <c r="E157" s="9" t="s">
        <v>32</v>
      </c>
    </row>
    <row r="158" customFormat="false" ht="15" hidden="false" customHeight="false" outlineLevel="0" collapsed="false">
      <c r="A158" s="11" t="s">
        <v>24</v>
      </c>
      <c r="B158" s="9" t="n">
        <v>2012</v>
      </c>
      <c r="C158" s="12" t="n">
        <v>429.83</v>
      </c>
      <c r="D158" s="6"/>
      <c r="E158" s="9" t="s">
        <v>33</v>
      </c>
    </row>
    <row r="159" customFormat="false" ht="15" hidden="false" customHeight="false" outlineLevel="0" collapsed="false">
      <c r="A159" s="11" t="s">
        <v>24</v>
      </c>
      <c r="B159" s="9" t="n">
        <v>2013</v>
      </c>
      <c r="C159" s="12" t="n">
        <v>429.83</v>
      </c>
      <c r="D159" s="6"/>
      <c r="E159" s="9" t="s">
        <v>33</v>
      </c>
    </row>
    <row r="160" customFormat="false" ht="15" hidden="false" customHeight="false" outlineLevel="0" collapsed="false">
      <c r="A160" s="11" t="s">
        <v>24</v>
      </c>
      <c r="B160" s="9" t="n">
        <v>2014</v>
      </c>
      <c r="C160" s="12" t="n">
        <v>369.73</v>
      </c>
      <c r="D160" s="6"/>
      <c r="E160" s="9" t="s">
        <v>32</v>
      </c>
    </row>
    <row r="161" customFormat="false" ht="15" hidden="false" customHeight="false" outlineLevel="0" collapsed="false">
      <c r="A161" s="11" t="s">
        <v>24</v>
      </c>
      <c r="B161" s="9" t="n">
        <v>2015</v>
      </c>
      <c r="C161" s="12" t="n">
        <v>618.55</v>
      </c>
      <c r="D161" s="6"/>
      <c r="E161" s="9" t="s">
        <v>33</v>
      </c>
    </row>
    <row r="162" customFormat="false" ht="15" hidden="false" customHeight="false" outlineLevel="0" collapsed="false">
      <c r="A162" s="11" t="s">
        <v>24</v>
      </c>
      <c r="B162" s="9" t="n">
        <v>2016</v>
      </c>
      <c r="C162" s="12" t="n">
        <v>618.55</v>
      </c>
      <c r="D162" s="6"/>
      <c r="E162" s="9" t="s">
        <v>33</v>
      </c>
    </row>
    <row r="163" customFormat="false" ht="15" hidden="false" customHeight="false" outlineLevel="0" collapsed="false">
      <c r="A163" s="11" t="s">
        <v>24</v>
      </c>
      <c r="B163" s="9" t="n">
        <v>2017</v>
      </c>
      <c r="C163" s="12" t="n">
        <v>711.6</v>
      </c>
      <c r="D163" s="6"/>
      <c r="E163" s="9" t="s">
        <v>32</v>
      </c>
    </row>
    <row r="164" customFormat="false" ht="15" hidden="false" customHeight="false" outlineLevel="0" collapsed="false">
      <c r="A164" s="11" t="s">
        <v>24</v>
      </c>
      <c r="B164" s="9" t="n">
        <v>2018</v>
      </c>
      <c r="C164" s="12" t="n">
        <v>498.52</v>
      </c>
      <c r="D164" s="13" t="n">
        <v>-0.2994</v>
      </c>
      <c r="E164" s="9" t="s">
        <v>32</v>
      </c>
    </row>
    <row r="165" customFormat="false" ht="15" hidden="false" customHeight="false" outlineLevel="0" collapsed="false">
      <c r="A165" s="11" t="s">
        <v>24</v>
      </c>
      <c r="B165" s="9" t="n">
        <v>2019</v>
      </c>
      <c r="C165" s="12" t="n">
        <v>514.48</v>
      </c>
      <c r="D165" s="13" t="n">
        <v>0.032</v>
      </c>
      <c r="E165" s="9" t="s">
        <v>32</v>
      </c>
    </row>
    <row r="166" customFormat="false" ht="15" hidden="false" customHeight="false" outlineLevel="0" collapsed="false">
      <c r="A166" s="11" t="s">
        <v>24</v>
      </c>
      <c r="B166" s="9" t="n">
        <v>2020</v>
      </c>
      <c r="C166" s="12" t="n">
        <v>677.86</v>
      </c>
      <c r="D166" s="13" t="n">
        <v>0.3176</v>
      </c>
      <c r="E166" s="9" t="s">
        <v>32</v>
      </c>
    </row>
    <row r="167" customFormat="false" ht="15" hidden="false" customHeight="false" outlineLevel="0" collapsed="false">
      <c r="A167" s="11" t="s">
        <v>24</v>
      </c>
      <c r="B167" s="9" t="n">
        <v>2021</v>
      </c>
      <c r="C167" s="12" t="n">
        <v>824.47</v>
      </c>
      <c r="D167" s="13" t="n">
        <v>0.2163</v>
      </c>
      <c r="E167" s="9" t="s">
        <v>32</v>
      </c>
    </row>
    <row r="168" customFormat="false" ht="15" hidden="false" customHeight="false" outlineLevel="0" collapsed="false">
      <c r="A168" s="11" t="s">
        <v>24</v>
      </c>
      <c r="B168" s="9" t="n">
        <v>2022</v>
      </c>
      <c r="C168" s="12" t="n">
        <v>789.41</v>
      </c>
      <c r="D168" s="13" t="n">
        <v>-0.0425</v>
      </c>
      <c r="E168" s="9" t="s">
        <v>32</v>
      </c>
    </row>
    <row r="169" customFormat="false" ht="15" hidden="false" customHeight="false" outlineLevel="0" collapsed="false">
      <c r="A169" s="11" t="s">
        <v>24</v>
      </c>
      <c r="B169" s="9" t="n">
        <v>2023</v>
      </c>
      <c r="C169" s="12" t="n">
        <v>723.13</v>
      </c>
      <c r="D169" s="13" t="n">
        <v>-0.084</v>
      </c>
      <c r="E169" s="9" t="s">
        <v>32</v>
      </c>
    </row>
    <row r="170" customFormat="false" ht="15" hidden="false" customHeight="false" outlineLevel="0" collapsed="false">
      <c r="A170" s="11" t="s">
        <v>24</v>
      </c>
      <c r="B170" s="9" t="n">
        <v>2024</v>
      </c>
      <c r="C170" s="12" t="n">
        <v>842.44</v>
      </c>
      <c r="D170" s="13" t="n">
        <v>0.165</v>
      </c>
      <c r="E170" s="9" t="s">
        <v>32</v>
      </c>
    </row>
    <row r="171" customFormat="false" ht="15" hidden="false" customHeight="false" outlineLevel="0" collapsed="false">
      <c r="A171" s="11" t="s">
        <v>24</v>
      </c>
      <c r="B171" s="9" t="n">
        <v>2025</v>
      </c>
      <c r="C171" s="12" t="n">
        <v>291.21</v>
      </c>
      <c r="D171" s="13" t="n">
        <v>-0.6543</v>
      </c>
      <c r="E171" s="9" t="s">
        <v>32</v>
      </c>
    </row>
  </sheetData>
  <autoFilter ref="A1:E17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4" t="s">
        <v>34</v>
      </c>
    </row>
    <row r="2" customFormat="false" ht="15" hidden="false" customHeight="false" outlineLevel="0" collapsed="false">
      <c r="A2" s="10" t="s">
        <v>35</v>
      </c>
    </row>
    <row r="4" customFormat="false" ht="36" hidden="false" customHeight="true" outlineLevel="0" collapsed="false">
      <c r="A4" s="4" t="s">
        <v>36</v>
      </c>
      <c r="B4" s="4" t="s">
        <v>37</v>
      </c>
      <c r="C4" s="4" t="s">
        <v>38</v>
      </c>
      <c r="D4" s="4" t="s">
        <v>39</v>
      </c>
      <c r="E4" s="4" t="s">
        <v>40</v>
      </c>
      <c r="F4" s="4" t="s">
        <v>41</v>
      </c>
    </row>
    <row r="5" customFormat="false" ht="15" hidden="false" customHeight="false" outlineLevel="0" collapsed="false">
      <c r="A5" s="15" t="s">
        <v>42</v>
      </c>
      <c r="B5" s="11" t="s">
        <v>43</v>
      </c>
      <c r="C5" s="16" t="n">
        <f aca="false">COUNTIF('Tabela anual'!J9:J26,"Sim")</f>
        <v>11</v>
      </c>
      <c r="D5" s="17" t="n">
        <v>11</v>
      </c>
      <c r="E5" s="18" t="str">
        <f aca="false">IF(ABS(C5-D5)&lt;=0,"✓ Sim","✗ Não")</f>
        <v>✓ Sim</v>
      </c>
      <c r="F5" s="19" t="s">
        <v>44</v>
      </c>
    </row>
    <row r="6" customFormat="false" ht="15" hidden="false" customHeight="false" outlineLevel="0" collapsed="false">
      <c r="A6" s="15" t="s">
        <v>45</v>
      </c>
      <c r="B6" s="11" t="s">
        <v>46</v>
      </c>
      <c r="C6" s="16" t="n">
        <f aca="false">COUNTIF('Tabela anual'!J9:J26,"Não")</f>
        <v>7</v>
      </c>
      <c r="D6" s="17" t="n">
        <v>7</v>
      </c>
      <c r="E6" s="18" t="str">
        <f aca="false">IF(ABS(C6-D6)&lt;=0,"✓ Sim","✗ Não")</f>
        <v>✓ Sim</v>
      </c>
      <c r="F6" s="19" t="s">
        <v>47</v>
      </c>
    </row>
    <row r="7" customFormat="false" ht="15" hidden="false" customHeight="false" outlineLevel="0" collapsed="false">
      <c r="A7" s="15" t="s">
        <v>48</v>
      </c>
      <c r="B7" s="11" t="s">
        <v>49</v>
      </c>
      <c r="C7" s="20" t="n">
        <f aca="false">'Tabela anual'!B23</f>
        <v>12473.98</v>
      </c>
      <c r="D7" s="21" t="n">
        <v>12474</v>
      </c>
      <c r="E7" s="18" t="str">
        <f aca="false">IF(ABS(C7-D7)&lt;=0.5,"✓ Sim","✗ Não")</f>
        <v>✓ Sim</v>
      </c>
      <c r="F7" s="19" t="s">
        <v>50</v>
      </c>
    </row>
    <row r="8" customFormat="false" ht="15" hidden="false" customHeight="false" outlineLevel="0" collapsed="false">
      <c r="A8" s="15" t="s">
        <v>51</v>
      </c>
      <c r="B8" s="11" t="s">
        <v>52</v>
      </c>
      <c r="C8" s="20" t="n">
        <f aca="false">'Tabela anual'!B27</f>
        <v>3362.94</v>
      </c>
      <c r="D8" s="21" t="n">
        <v>3363</v>
      </c>
      <c r="E8" s="18" t="str">
        <f aca="false">IF(ABS(C8-D8)&lt;=0.5,"✓ Sim","✗ Não")</f>
        <v>✓ Sim</v>
      </c>
      <c r="F8" s="19" t="s">
        <v>50</v>
      </c>
    </row>
    <row r="9" customFormat="false" ht="15" hidden="false" customHeight="false" outlineLevel="0" collapsed="false">
      <c r="A9" s="15" t="s">
        <v>53</v>
      </c>
      <c r="B9" s="11" t="s">
        <v>54</v>
      </c>
      <c r="C9" s="22" t="n">
        <f aca="false">'Tabela anual'!B27/'Tabela anual'!B23-1</f>
        <v>-0.730403608150727</v>
      </c>
      <c r="D9" s="23" t="n">
        <v>-0.73</v>
      </c>
      <c r="E9" s="18" t="str">
        <f aca="false">IF(ABS(C9-D9)&lt;=0.005,"✓ Sim","✗ Não")</f>
        <v>✓ Sim</v>
      </c>
      <c r="F9" s="19" t="s">
        <v>55</v>
      </c>
    </row>
    <row r="10" customFormat="false" ht="15" hidden="false" customHeight="false" outlineLevel="0" collapsed="false">
      <c r="A10" s="15" t="s">
        <v>56</v>
      </c>
      <c r="B10" s="11" t="s">
        <v>57</v>
      </c>
      <c r="C10" s="20" t="n">
        <f aca="false">SUM('Tabela anual'!B26:H26)</f>
        <v>16088.62</v>
      </c>
      <c r="D10" s="21" t="n">
        <v>16089</v>
      </c>
      <c r="E10" s="18" t="str">
        <f aca="false">IF(ABS(C10-D10)&lt;=0.5,"✓ Sim","✗ Não")</f>
        <v>✓ Sim</v>
      </c>
      <c r="F10" s="19" t="s">
        <v>58</v>
      </c>
    </row>
    <row r="11" customFormat="false" ht="15" hidden="false" customHeight="false" outlineLevel="0" collapsed="false">
      <c r="A11" s="15" t="s">
        <v>59</v>
      </c>
      <c r="B11" s="11" t="s">
        <v>60</v>
      </c>
      <c r="C11" s="22" t="n">
        <f aca="false">'Tabela anual'!D26/SUM('Tabela anual'!B26:H26)</f>
        <v>0.449713524217739</v>
      </c>
      <c r="D11" s="23" t="n">
        <v>0.45</v>
      </c>
      <c r="E11" s="18" t="str">
        <f aca="false">IF(ABS(C11-D11)&lt;=0.005,"✓ Sim","✗ Não")</f>
        <v>✓ Sim</v>
      </c>
      <c r="F11" s="19" t="s">
        <v>61</v>
      </c>
    </row>
    <row r="12" customFormat="false" ht="15" hidden="false" customHeight="false" outlineLevel="0" collapsed="false">
      <c r="A12" s="15" t="s">
        <v>62</v>
      </c>
      <c r="B12" s="11" t="s">
        <v>63</v>
      </c>
      <c r="C12" s="20" t="n">
        <f aca="false">SUM('Tabela anual'!D9:D26)</f>
        <v>168339.42</v>
      </c>
      <c r="D12" s="21" t="n">
        <v>168339</v>
      </c>
      <c r="E12" s="18" t="str">
        <f aca="false">IF(ABS(C12-D12)&lt;=0.5,"✓ Sim","✗ Não")</f>
        <v>✓ Sim</v>
      </c>
      <c r="F12" s="19" t="s">
        <v>64</v>
      </c>
    </row>
    <row r="13" customFormat="false" ht="15" hidden="false" customHeight="false" outlineLevel="0" collapsed="false">
      <c r="A13" s="15" t="s">
        <v>65</v>
      </c>
      <c r="B13" s="11" t="s">
        <v>66</v>
      </c>
      <c r="C13" s="20" t="n">
        <f aca="false">SUM('Tabela anual'!I9:I26)</f>
        <v>144597.5</v>
      </c>
      <c r="D13" s="21" t="n">
        <v>144598</v>
      </c>
      <c r="E13" s="18" t="str">
        <f aca="false">IF(ABS(C13-D13)&lt;=0.5,"✓ Sim","✗ Não")</f>
        <v>✓ Sim</v>
      </c>
      <c r="F13" s="19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2026-10-27T18:45:27Z</dcterms:created>
  <dc:creator>openpyxl</dc:creator>
  <dc:description/>
  <dc:language>en-US</dc:language>
  <cp:lastModifiedBy/>
  <dcterms:modified xsi:type="dcterms:W3CDTF">2026-10-27T18:45:28Z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